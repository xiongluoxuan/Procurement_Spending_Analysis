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ongwenkai/Projects/Portfolio/Procurement_Spending_Analysis/02_Excel/"/>
    </mc:Choice>
  </mc:AlternateContent>
  <xr:revisionPtr revIDLastSave="0" documentId="13_ncr:1_{14C77F83-C491-3647-B941-78F7D1B133A1}" xr6:coauthVersionLast="47" xr6:coauthVersionMax="47" xr10:uidLastSave="{00000000-0000-0000-0000-000000000000}"/>
  <bookViews>
    <workbookView xWindow="15700" yWindow="880" windowWidth="20540" windowHeight="17260" firstSheet="1" activeTab="4" xr2:uid="{C07E02B6-5722-D140-A792-759427EC271E}"/>
  </bookViews>
  <sheets>
    <sheet name="PQ Cleaned Data" sheetId="2" r:id="rId1"/>
    <sheet name="PQ Supplier Spend" sheetId="3" r:id="rId2"/>
    <sheet name="PQ Category Spend" sheetId="4" r:id="rId3"/>
    <sheet name="PQ Monthly Spend" sheetId="5" r:id="rId4"/>
    <sheet name="PQ Dashboard" sheetId="6" r:id="rId5"/>
  </sheets>
  <definedNames>
    <definedName name="ExternalData_1" localSheetId="0" hidden="1">'PQ Cleaned Data'!$A$1:$K$501</definedName>
  </definedNames>
  <calcPr calcId="181029"/>
  <pivotCaches>
    <pivotCache cacheId="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6" l="1"/>
  <c r="H3" i="6"/>
  <c r="E3" i="6"/>
  <c r="B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9E4CE-962A-E742-A4D1-EA776F097F6B}" keepAlive="1" name="查询 - spend_analysis_dataset" description="与工作簿中“spend_analysis_dataset”查询的连接。" type="5" refreshedVersion="8" background="1" saveData="1">
    <dbPr connection="Provider=Microsoft.Mashup.OleDb.1;Data Source=$Workbook$;Location=spend_analysis_dataset;Extended Properties=&quot;&quot;" command="SELECT * FROM [spend_analysis_dataset]"/>
  </connection>
</connections>
</file>

<file path=xl/sharedStrings.xml><?xml version="1.0" encoding="utf-8"?>
<sst xmlns="http://schemas.openxmlformats.org/spreadsheetml/2006/main" count="2536" uniqueCount="560">
  <si>
    <t>TransactionID</t>
  </si>
  <si>
    <t>ItemName</t>
  </si>
  <si>
    <t>Category</t>
  </si>
  <si>
    <t>Quantity</t>
  </si>
  <si>
    <t>UnitPrice</t>
  </si>
  <si>
    <t>TotalCost</t>
  </si>
  <si>
    <t>PurchaseDate</t>
  </si>
  <si>
    <t>Supplier</t>
  </si>
  <si>
    <t>Buyer</t>
  </si>
  <si>
    <t>Spend</t>
  </si>
  <si>
    <t>Month</t>
  </si>
  <si>
    <t>TXN001</t>
  </si>
  <si>
    <t>Desk Chair</t>
  </si>
  <si>
    <t>Furniture</t>
  </si>
  <si>
    <t>TechMart Inc.</t>
  </si>
  <si>
    <t>Kelly Joseph</t>
  </si>
  <si>
    <t>TXN002</t>
  </si>
  <si>
    <t>Stapler</t>
  </si>
  <si>
    <t>Office Supplies</t>
  </si>
  <si>
    <t>CloudSoft Corp.</t>
  </si>
  <si>
    <t>TXN003</t>
  </si>
  <si>
    <t>Annual Software License</t>
  </si>
  <si>
    <t>Software</t>
  </si>
  <si>
    <t>TXN004</t>
  </si>
  <si>
    <t>Notepad</t>
  </si>
  <si>
    <t>Stationery</t>
  </si>
  <si>
    <t>FurniWorks Ltd.</t>
  </si>
  <si>
    <t>Luis Holland</t>
  </si>
  <si>
    <t>TXN005</t>
  </si>
  <si>
    <t>Cynthia Jenkins</t>
  </si>
  <si>
    <t>TXN006</t>
  </si>
  <si>
    <t>Printer</t>
  </si>
  <si>
    <t>Electronics</t>
  </si>
  <si>
    <t>Stephanie Bennett</t>
  </si>
  <si>
    <t>TXN007</t>
  </si>
  <si>
    <t>OfficeSupplies Co.</t>
  </si>
  <si>
    <t>Todd James</t>
  </si>
  <si>
    <t>TXN008</t>
  </si>
  <si>
    <t>Aaron Hopkins</t>
  </si>
  <si>
    <t>TXN009</t>
  </si>
  <si>
    <t>Printer Ink</t>
  </si>
  <si>
    <t>Kevin Adams</t>
  </si>
  <si>
    <t>TXN010</t>
  </si>
  <si>
    <t>Whiteboard</t>
  </si>
  <si>
    <t>TXN011</t>
  </si>
  <si>
    <t>QuickDeliver Ltd.</t>
  </si>
  <si>
    <t>TXN012</t>
  </si>
  <si>
    <t>Walter Pena</t>
  </si>
  <si>
    <t>TXN013</t>
  </si>
  <si>
    <t>Jasmine Mcgee</t>
  </si>
  <si>
    <t>TXN014</t>
  </si>
  <si>
    <t>Dawn Padilla</t>
  </si>
  <si>
    <t>TXN015</t>
  </si>
  <si>
    <t>TXN016</t>
  </si>
  <si>
    <t>Monitor</t>
  </si>
  <si>
    <t>TXN017</t>
  </si>
  <si>
    <t>Laptop Bag</t>
  </si>
  <si>
    <t>Accessories</t>
  </si>
  <si>
    <t>Amy Warner</t>
  </si>
  <si>
    <t>TXN018</t>
  </si>
  <si>
    <t>Lisa Parks</t>
  </si>
  <si>
    <t>TXN019</t>
  </si>
  <si>
    <t>Laptop</t>
  </si>
  <si>
    <t>TXN020</t>
  </si>
  <si>
    <t>TXN021</t>
  </si>
  <si>
    <t>TXN022</t>
  </si>
  <si>
    <t>Kayla Hanson</t>
  </si>
  <si>
    <t>TXN023</t>
  </si>
  <si>
    <t>TXN024</t>
  </si>
  <si>
    <t>TXN025</t>
  </si>
  <si>
    <t>TXN026</t>
  </si>
  <si>
    <t>Rebecca Bell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</si>
  <si>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</si>
  <si>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</si>
  <si>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</si>
  <si>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</si>
  <si>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</si>
  <si>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</si>
  <si>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</si>
  <si>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</si>
  <si>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</si>
  <si>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Laura White</t>
  </si>
  <si>
    <t>TXN036</t>
  </si>
  <si>
    <t>TXN037</t>
  </si>
  <si>
    <t>TXN038</t>
  </si>
  <si>
    <t>Jessica Hodges</t>
  </si>
  <si>
    <t>TXN039</t>
  </si>
  <si>
    <t>Nicole Clay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</si>
  <si>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</si>
  <si>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</si>
  <si>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</si>
  <si>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</si>
  <si>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</si>
  <si>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</si>
  <si>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</si>
  <si>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</si>
  <si>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Noah Long</t>
  </si>
  <si>
    <t>TXN048</t>
  </si>
  <si>
    <t>Melissa Mckee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</si>
  <si>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</si>
  <si>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</si>
  <si>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</si>
  <si>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</si>
  <si>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</si>
  <si>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</si>
  <si>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</si>
  <si>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</si>
  <si>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</si>
  <si>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</si>
  <si>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</si>
  <si>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</si>
  <si>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</si>
  <si>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</si>
  <si>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</si>
  <si>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</si>
  <si>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</si>
  <si>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</si>
  <si>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</si>
  <si>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</si>
  <si>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</si>
  <si>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</si>
  <si>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</si>
  <si>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</si>
  <si>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</si>
  <si>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</si>
  <si>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</si>
  <si>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</si>
  <si>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</si>
  <si>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</si>
  <si>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</si>
  <si>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</si>
  <si>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</si>
  <si>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</si>
  <si>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</si>
  <si>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</si>
  <si>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Barry Johnson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</si>
  <si>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</si>
  <si>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</si>
  <si>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</si>
  <si>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</si>
  <si>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</si>
  <si>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</si>
  <si>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</si>
  <si>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</si>
  <si>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</si>
  <si>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</si>
  <si>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</si>
  <si>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</si>
  <si>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</si>
  <si>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</si>
  <si>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</si>
  <si>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</si>
  <si>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</si>
  <si>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</si>
  <si>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</si>
  <si>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</si>
  <si>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</si>
  <si>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</si>
  <si>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</si>
  <si>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</si>
  <si>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</si>
  <si>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</si>
  <si>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</si>
  <si>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</si>
  <si>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</si>
  <si>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</si>
  <si>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</si>
  <si>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</si>
  <si>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</si>
  <si>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</si>
  <si>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</si>
  <si>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</si>
  <si>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</si>
  <si>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</si>
  <si>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</si>
  <si>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</si>
  <si>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</si>
  <si>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</si>
  <si>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</si>
  <si>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</si>
  <si>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</si>
  <si>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</si>
  <si>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</si>
  <si>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</si>
  <si>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</si>
  <si>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</si>
  <si>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</si>
  <si>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</si>
  <si>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</si>
  <si>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</si>
  <si>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</si>
  <si>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</si>
  <si>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</si>
  <si>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</si>
  <si>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</si>
  <si>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</si>
  <si>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</si>
  <si>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</si>
  <si>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</si>
  <si>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</si>
  <si>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</si>
  <si>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</si>
  <si>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</si>
  <si>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</si>
  <si>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</si>
  <si>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</si>
  <si>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</si>
  <si>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</si>
  <si>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</si>
  <si>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</si>
  <si>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</si>
  <si>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</si>
  <si>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</si>
  <si>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</si>
  <si>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</si>
  <si>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</si>
  <si>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</si>
  <si>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</si>
  <si>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</si>
  <si>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</si>
  <si>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</si>
  <si>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</si>
  <si>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</si>
  <si>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</si>
  <si>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</si>
  <si>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</si>
  <si>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</si>
  <si>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</si>
  <si>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</si>
  <si>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</si>
  <si>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</si>
  <si>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</si>
  <si>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</si>
  <si>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</si>
  <si>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</si>
  <si>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</si>
  <si>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</si>
  <si>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</si>
  <si>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</si>
  <si>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</si>
  <si>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</si>
  <si>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</si>
  <si>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</si>
  <si>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</si>
  <si>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</si>
  <si>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</si>
  <si>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</si>
  <si>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</si>
  <si>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</si>
  <si>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</si>
  <si>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</si>
  <si>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</si>
  <si>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</si>
  <si>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</si>
  <si>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</si>
  <si>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</si>
  <si>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</si>
  <si>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</si>
  <si>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</si>
  <si>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</si>
  <si>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</si>
  <si>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</si>
  <si>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</si>
  <si>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</si>
  <si>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</si>
  <si>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</si>
  <si>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</si>
  <si>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</si>
  <si>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</si>
  <si>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</si>
  <si>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</si>
  <si>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</si>
  <si>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</si>
  <si>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</si>
  <si>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</si>
  <si>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</si>
  <si>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</si>
  <si>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</si>
  <si>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</si>
  <si>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</si>
  <si>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</si>
  <si>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</si>
  <si>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</si>
  <si>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</si>
  <si>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</si>
  <si>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</si>
  <si>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</si>
  <si>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</si>
  <si>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</si>
  <si>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</si>
  <si>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</si>
  <si>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</si>
  <si>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</si>
  <si>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</si>
  <si>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</si>
  <si>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</si>
  <si>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</si>
  <si>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</si>
  <si>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</si>
  <si>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</si>
  <si>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</si>
  <si>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</si>
  <si>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</si>
  <si>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</si>
  <si>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</si>
  <si>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</si>
  <si>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</si>
  <si>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</si>
  <si>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</si>
  <si>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</si>
  <si>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</si>
  <si>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</si>
  <si>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</si>
  <si>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</si>
  <si>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</si>
  <si>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</si>
  <si>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</si>
  <si>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</si>
  <si>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</si>
  <si>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</si>
  <si>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</si>
  <si>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</si>
  <si>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</si>
  <si>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</si>
  <si>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</si>
  <si>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</si>
  <si>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</si>
  <si>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</si>
  <si>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</si>
  <si>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</si>
  <si>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</si>
  <si>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</si>
  <si>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</si>
  <si>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</si>
  <si>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</si>
  <si>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</si>
  <si>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</si>
  <si>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</si>
  <si>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</si>
  <si>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</si>
  <si>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</si>
  <si>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</si>
  <si>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</si>
  <si>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</si>
  <si>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</si>
  <si>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</si>
  <si>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</si>
  <si>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</si>
  <si>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</si>
  <si>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</si>
  <si>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</si>
  <si>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</si>
  <si>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</si>
  <si>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</si>
  <si>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</si>
  <si>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</si>
  <si>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</si>
  <si>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</si>
  <si>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</si>
  <si>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</si>
  <si>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</si>
  <si>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</si>
  <si>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</si>
  <si>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</si>
  <si>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</si>
  <si>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</si>
  <si>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</si>
  <si>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</si>
  <si>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</si>
  <si>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</si>
  <si>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</si>
  <si>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</si>
  <si>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</si>
  <si>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</si>
  <si>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</si>
  <si>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</si>
  <si>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</si>
  <si>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</si>
  <si>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</si>
  <si>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</si>
  <si>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</si>
  <si>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</si>
  <si>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</si>
  <si>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</si>
  <si>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</si>
  <si>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</si>
  <si>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</si>
  <si>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</si>
  <si>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</si>
  <si>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</si>
  <si>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</si>
  <si>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</si>
  <si>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</si>
  <si>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</si>
  <si>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</si>
  <si>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</si>
  <si>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</si>
  <si>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</si>
  <si>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</si>
  <si>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</si>
  <si>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</si>
  <si>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</si>
  <si>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</si>
  <si>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</si>
  <si>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</si>
  <si>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</si>
  <si>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</si>
  <si>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</si>
  <si>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</si>
  <si>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</si>
  <si>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</si>
  <si>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</si>
  <si>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</si>
  <si>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</si>
  <si>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</si>
  <si>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</si>
  <si>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</si>
  <si>
    <t>TXN366</t>
  </si>
  <si>
    <t>TXN367</t>
  </si>
  <si>
    <t>TXN368</t>
  </si>
  <si>
    <t>TXN369</t>
  </si>
  <si>
    <t>TXN370</t>
  </si>
  <si>
    <t>TXN371</t>
  </si>
  <si>
    <t>TXN372</t>
  </si>
  <si>
    <t>TXN373</t>
  </si>
  <si>
    <t>TXN374</t>
  </si>
  <si>
    <t>TXN375</t>
  </si>
  <si>
    <t>TXN376</t>
  </si>
  <si>
    <t>TXN377</t>
  </si>
  <si>
    <t>TXN378</t>
  </si>
  <si>
    <t>TXN379</t>
  </si>
  <si>
    <t>TXN380</t>
  </si>
  <si>
    <t>TXN381</t>
  </si>
  <si>
    <t>TXN382</t>
  </si>
  <si>
    <t>TXN383</t>
  </si>
  <si>
    <t>TXN384</t>
  </si>
  <si>
    <t>TXN385</t>
  </si>
  <si>
    <t>TXN386</t>
  </si>
  <si>
    <t>TXN387</t>
  </si>
  <si>
    <t>TXN388</t>
  </si>
  <si>
    <t>TXN389</t>
  </si>
  <si>
    <t>TXN390</t>
  </si>
  <si>
    <t>TXN391</t>
  </si>
  <si>
    <t>TXN392</t>
  </si>
  <si>
    <t>TXN393</t>
  </si>
  <si>
    <t>TXN394</t>
  </si>
  <si>
    <t>TXN395</t>
  </si>
  <si>
    <t>TXN396</t>
  </si>
  <si>
    <t>TXN397</t>
  </si>
  <si>
    <t>TXN398</t>
  </si>
  <si>
    <t>TXN399</t>
  </si>
  <si>
    <t>TXN400</t>
  </si>
  <si>
    <t>TXN401</t>
  </si>
  <si>
    <t>TXN402</t>
  </si>
  <si>
    <t>TXN403</t>
  </si>
  <si>
    <t>TXN404</t>
  </si>
  <si>
    <t>TXN405</t>
  </si>
  <si>
    <t>TXN406</t>
  </si>
  <si>
    <t>TXN407</t>
  </si>
  <si>
    <t>TXN408</t>
  </si>
  <si>
    <t>TXN409</t>
  </si>
  <si>
    <t>TXN410</t>
  </si>
  <si>
    <t>TXN411</t>
  </si>
  <si>
    <t>TXN412</t>
  </si>
  <si>
    <t>TXN413</t>
  </si>
  <si>
    <t>TXN414</t>
  </si>
  <si>
    <t>TXN415</t>
  </si>
  <si>
    <t>TXN416</t>
  </si>
  <si>
    <t>TXN417</t>
  </si>
  <si>
    <t>TXN418</t>
  </si>
  <si>
    <t>TXN419</t>
  </si>
  <si>
    <t>TXN420</t>
  </si>
  <si>
    <t>TXN421</t>
  </si>
  <si>
    <t>TXN422</t>
  </si>
  <si>
    <t>TXN423</t>
  </si>
  <si>
    <t>TXN424</t>
  </si>
  <si>
    <t>TXN425</t>
  </si>
  <si>
    <t>TXN426</t>
  </si>
  <si>
    <t>TXN427</t>
  </si>
  <si>
    <t>TXN428</t>
  </si>
  <si>
    <t>TXN429</t>
  </si>
  <si>
    <t>TXN430</t>
  </si>
  <si>
    <t>TXN431</t>
  </si>
  <si>
    <t>TXN432</t>
  </si>
  <si>
    <t>TXN433</t>
  </si>
  <si>
    <t>TXN434</t>
  </si>
  <si>
    <t>TXN435</t>
  </si>
  <si>
    <t>TXN436</t>
  </si>
  <si>
    <t>TXN437</t>
  </si>
  <si>
    <t>TXN438</t>
  </si>
  <si>
    <t>TXN439</t>
  </si>
  <si>
    <t>TXN440</t>
  </si>
  <si>
    <t>TXN441</t>
  </si>
  <si>
    <t>TXN442</t>
  </si>
  <si>
    <t>TXN443</t>
  </si>
  <si>
    <t>TXN444</t>
  </si>
  <si>
    <t>TXN445</t>
  </si>
  <si>
    <t>TXN446</t>
  </si>
  <si>
    <t>TXN447</t>
  </si>
  <si>
    <t>TXN448</t>
  </si>
  <si>
    <t>TXN449</t>
  </si>
  <si>
    <t>TXN450</t>
  </si>
  <si>
    <t>TXN451</t>
  </si>
  <si>
    <t>TXN452</t>
  </si>
  <si>
    <t>TXN453</t>
  </si>
  <si>
    <t>TXN454</t>
  </si>
  <si>
    <t>TXN455</t>
  </si>
  <si>
    <t>TXN456</t>
  </si>
  <si>
    <t>TXN457</t>
  </si>
  <si>
    <t>TXN458</t>
  </si>
  <si>
    <t>TXN459</t>
  </si>
  <si>
    <t>TXN460</t>
  </si>
  <si>
    <t>TXN461</t>
  </si>
  <si>
    <t>TXN462</t>
  </si>
  <si>
    <t>TXN463</t>
  </si>
  <si>
    <t>TXN464</t>
  </si>
  <si>
    <t>TXN465</t>
  </si>
  <si>
    <t>TXN466</t>
  </si>
  <si>
    <t>TXN467</t>
  </si>
  <si>
    <t>TXN468</t>
  </si>
  <si>
    <t>TXN469</t>
  </si>
  <si>
    <t>TXN470</t>
  </si>
  <si>
    <t>TXN471</t>
  </si>
  <si>
    <t>TXN472</t>
  </si>
  <si>
    <t>TXN473</t>
  </si>
  <si>
    <t>TXN474</t>
  </si>
  <si>
    <t>TXN475</t>
  </si>
  <si>
    <t>TXN476</t>
  </si>
  <si>
    <t>TXN477</t>
  </si>
  <si>
    <t>TXN478</t>
  </si>
  <si>
    <t>TXN479</t>
  </si>
  <si>
    <t>TXN480</t>
  </si>
  <si>
    <t>TXN481</t>
  </si>
  <si>
    <t>TXN482</t>
  </si>
  <si>
    <t>TXN483</t>
  </si>
  <si>
    <t>TXN484</t>
  </si>
  <si>
    <t>TXN485</t>
  </si>
  <si>
    <t>TXN486</t>
  </si>
  <si>
    <t>TXN487</t>
  </si>
  <si>
    <t>TXN488</t>
  </si>
  <si>
    <t>TXN489</t>
  </si>
  <si>
    <t>TXN490</t>
  </si>
  <si>
    <t>TXN491</t>
  </si>
  <si>
    <t>TXN492</t>
  </si>
  <si>
    <t>TXN493</t>
  </si>
  <si>
    <t>TXN494</t>
  </si>
  <si>
    <t>TXN495</t>
  </si>
  <si>
    <t>TXN496</t>
  </si>
  <si>
    <t>TXN497</t>
  </si>
  <si>
    <t>TXN498</t>
  </si>
  <si>
    <t>TXN499</t>
  </si>
  <si>
    <t>TXN500</t>
  </si>
  <si>
    <t>行标签</t>
  </si>
  <si>
    <t>总计</t>
  </si>
  <si>
    <t>求和项:Spend</t>
  </si>
  <si>
    <t>Procurement Spend Dashboard - Power Query</t>
  </si>
  <si>
    <t>Total Spend</t>
  </si>
  <si>
    <t>Transaction Count</t>
  </si>
  <si>
    <t>Supplier Count</t>
  </si>
  <si>
    <t>Category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</si>
</sst>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.00_ "/>
    <numFmt numFmtId="183" formatCode="yyyy\-mm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0" xfId="0" applyNumberFormat="1">
      <alignment vertical="center"/>
    </xf>
    <xf numFmtId="39" fontId="0" fillId="0" borderId="0" xfId="0" applyNumberFormat="1">
      <alignment vertical="center"/>
    </xf>
    <xf numFmtId="183" fontId="0" fillId="0" borderId="0" xfId="0" applyNumberForma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6">
    <dxf>
      <numFmt numFmtId="178" formatCode="#,##0.00_ "/>
    </dxf>
    <dxf>
      <numFmt numFmtId="178" formatCode="#,##0.00_ "/>
    </dxf>
    <dxf>
      <numFmt numFmtId="7" formatCode="#,##0.00_);\(#,##0.00\)"/>
    </dxf>
    <dxf>
      <numFmt numFmtId="7" formatCode="#,##0.00_);\(#,##0.00\)"/>
    </dxf>
    <dxf>
      <numFmt numFmtId="178" formatCode="#,##0.00_ "/>
    </dxf>
    <dxf>
      <numFmt numFmtId="178" formatCode="#,##0.00_ "/>
    </dxf>
    <dxf>
      <numFmt numFmtId="178" formatCode="#,##0.00_ "/>
    </dxf>
    <dxf>
      <numFmt numFmtId="178" formatCode="#,##0.00_ "/>
    </dxf>
    <dxf>
      <numFmt numFmtId="178" formatCode="#,##0.00_ 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[procurement_spend_power_query.xlsx]PQ Supplier Spend!数据透视表1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Spend by</a:t>
            </a:r>
            <a:r>
              <a:rPr lang="en-US" altLang="zh-CN" baseline="0"/>
              <a:t> Supplier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'PQ Supplier Spend'!$B$3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'PQ Supplier Spend'!$A$4:$A$9</c:f>
              <c:strCache>
                <c:ptCount val="5"/>
                <c:pt idx="0">
                  <c:v>TechMart Inc.</c:v>
                </c:pt>
                <c:pt idx="1">
                  <c:v>QuickDeliver Ltd.</c:v>
                </c:pt>
                <c:pt idx="2">
                  <c:v>OfficeSupplies Co.</c:v>
                </c:pt>
                <c:pt idx="3">
                  <c:v>FurniWorks Ltd.</c:v>
                </c:pt>
                <c:pt idx="4">
                  <c:v>CloudSoft Corp.</c:v>
                </c:pt>
              </c:strCache>
            </c:strRef>
          </c:cat>
          <c:val>
            <c:numRef>
              <c:f>'PQ Supplier Spend'!$B$4:$B$9</c:f>
              <c:numCache>
                <c:formatCode>#,##0.00_);\(#,##0.00\)</c:formatCode>
                <c:ptCount val="5"/>
                <c:pt idx="0">
                  <c:v>328761.7300000001</c:v>
                </c:pt>
                <c:pt idx="1">
                  <c:v>285353.58999999997</c:v>
                </c:pt>
                <c:pt idx="2">
                  <c:v>223580.85</c:v>
                </c:pt>
                <c:pt idx="3">
                  <c:v>202810.72000000003</c:v>
                </c:pt>
                <c:pt idx="4">
                  <c:v>200073.64000000007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37-FB46-9691-AD16D837D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9799232"/>
        <c:axId val="1919805056"/>
      </c:barChart>
      <c:catAx>
        <c:axId val="191979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805056"/>
        <c:crosses val="autoZero"/>
        <c:auto val="1"/>
        <c:lblAlgn val="ctr"/>
        <c:lblOffset val="100"/>
        <c:noMultiLvlLbl val="0"/>
      </c:catAx>
      <c:valAx>
        <c:axId val="1919805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9799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[procurement_spend_power_query.xlsx]PQ Category Spend!数据透视表2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Spend</a:t>
            </a:r>
            <a:r>
              <a:rPr lang="zh-CN" altLang="en-US"/>
              <a:t> </a:t>
            </a:r>
            <a:r>
              <a:rPr lang="en-US" altLang="zh-CN"/>
              <a:t>by</a:t>
            </a:r>
            <a:r>
              <a:rPr lang="en-US" altLang="zh-CN" baseline="0"/>
              <a:t>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'PQ Category Spend'!$B$3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'PQ Category Spend'!$A$4:$A$10</c:f>
              <c:strCache>
                <c:ptCount val="6"/>
                <c:pt idx="0">
                  <c:v>Electronics</c:v>
                </c:pt>
                <c:pt idx="1">
                  <c:v>Software</c:v>
                </c:pt>
                <c:pt idx="2">
                  <c:v>Furniture</c:v>
                </c:pt>
                <c:pt idx="3">
                  <c:v>Accessories</c:v>
                </c:pt>
                <c:pt idx="4">
                  <c:v>Stationery</c:v>
                </c:pt>
                <c:pt idx="5">
                  <c:v>Office Supplies</c:v>
                </c:pt>
              </c:strCache>
            </c:strRef>
          </c:cat>
          <c:val>
            <c:numRef>
              <c:f>'PQ Category Spend'!$B$4:$B$10</c:f>
              <c:numCache>
                <c:formatCode>#,##0.00_ </c:formatCode>
                <c:ptCount val="6"/>
                <c:pt idx="0">
                  <c:v>697805.23000000021</c:v>
                </c:pt>
                <c:pt idx="1">
                  <c:v>336017.99999999988</c:v>
                </c:pt>
                <c:pt idx="2">
                  <c:v>172818.61</c:v>
                </c:pt>
                <c:pt idx="3">
                  <c:v>20857.240000000002</c:v>
                </c:pt>
                <c:pt idx="4">
                  <c:v>6753.1799999999985</c:v>
                </c:pt>
                <c:pt idx="5">
                  <c:v>6328.2700000000041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0-E24C-88DC-E4EA8DBA7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294976"/>
        <c:axId val="1895162176"/>
      </c:barChart>
      <c:catAx>
        <c:axId val="189229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5162176"/>
        <c:crosses val="autoZero"/>
        <c:auto val="1"/>
        <c:lblAlgn val="ctr"/>
        <c:lblOffset val="100"/>
        <c:noMultiLvlLbl val="0"/>
      </c:catAx>
      <c:valAx>
        <c:axId val="18951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229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[procurement_spend_power_query.xlsx]PQ Monthly Spend!数据透视表3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Monthly Spend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'PQ Monthly Spend'!$B$3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'PQ Monthly Spend'!$A$4:$A$16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'PQ Monthly Spend'!$B$4:$B$16</c:f>
              <c:numCache>
                <c:formatCode>General</c:formatCode>
                <c:ptCount val="12"/>
                <c:pt idx="0">
                  <c:v>101523.94999999997</c:v>
                </c:pt>
                <c:pt idx="1">
                  <c:v>78544.710000000006</c:v>
                </c:pt>
                <c:pt idx="2">
                  <c:v>123639.02999999997</c:v>
                </c:pt>
                <c:pt idx="3">
                  <c:v>119348.9</c:v>
                </c:pt>
                <c:pt idx="4">
                  <c:v>117917.38</c:v>
                </c:pt>
                <c:pt idx="5">
                  <c:v>87118.540000000008</c:v>
                </c:pt>
                <c:pt idx="6">
                  <c:v>76055.66</c:v>
                </c:pt>
                <c:pt idx="7">
                  <c:v>77222.969999999987</c:v>
                </c:pt>
                <c:pt idx="8">
                  <c:v>125187.25</c:v>
                </c:pt>
                <c:pt idx="9">
                  <c:v>121217.02</c:v>
                </c:pt>
                <c:pt idx="10">
                  <c:v>114299.46</c:v>
                </c:pt>
                <c:pt idx="11">
                  <c:v>98505.66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A-5E4D-8BB8-C93A76AAA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2077056"/>
        <c:axId val="1892085568"/>
      </c:lineChart>
      <c:catAx>
        <c:axId val="189207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2085568"/>
        <c:crosses val="autoZero"/>
        <c:auto val="1"/>
        <c:lblAlgn val="ctr"/>
        <c:lblOffset val="100"/>
        <c:noMultiLvlLbl val="0"/>
      </c:catAx>
      <c:valAx>
        <c:axId val="189208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9207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12700</xdr:rowOff>
    </xdr:from>
    <xdr:to>
      <xdr:col>4</xdr:col>
      <xdr:colOff>12700</xdr:colOff>
      <xdr:row>18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6A48C6A-1B30-0F47-AA54-1053E0F3A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25400</xdr:colOff>
      <xdr:row>3</xdr:row>
      <xdr:rowOff>12700</xdr:rowOff>
    </xdr:from>
    <xdr:to>
      <xdr:col>11</xdr:col>
      <xdr:colOff>25400</xdr:colOff>
      <xdr:row>18</xdr:row>
      <xdr:rowOff>12700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27CB811-42D2-0940-B796-A8B597149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11</xdr:col>
      <xdr:colOff>12700</xdr:colOff>
      <xdr:row>32</xdr:row>
      <xdr:rowOff>101600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B4BE107-8711-D949-BE1D-12253B52C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龚闻凯" refreshedDate="46233.574924652778" createdVersion="8" refreshedVersion="8" minRefreshableVersion="3" recordCount="500" xr:uid="{0BE408E8-5792-8046-A2B7-CF08DF0C7524}">
  <cacheSource type="worksheet">
    <worksheetSource name="spend_analysis_dataset"/>
  </cacheSource>
  <cacheFields count="11">
    <cacheField name="TransactionID" numFmtId="0">
      <sharedItems/>
    </cacheField>
    <cacheField name="ItemName" numFmtId="0">
      <sharedItems/>
    </cacheField>
    <cacheField name="Category" numFmtId="0">
      <sharedItems count="6">
        <s v="Furniture"/>
        <s v="Office Supplies"/>
        <s v="Software"/>
        <s v="Stationery"/>
        <s v="Electronics"/>
        <s v="Accessories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0">
      <sharedItems containsSemiMixedTypes="0" containsString="0" containsNumber="1" minValue="1.06" maxValue="9909.24"/>
    </cacheField>
    <cacheField name="TotalCost" numFmtId="0">
      <sharedItems containsSemiMixedTypes="0" containsString="0" containsNumber="1" minValue="1.56" maxValue="18494.599999999999"/>
    </cacheField>
    <cacheField name="PurchaseDate" numFmtId="14">
      <sharedItems containsSemiMixedTypes="0" containsNonDate="0" containsDate="1" containsString="0" minDate="2024-01-01T00:00:00" maxDate="2024-12-31T00:00:00"/>
    </cacheField>
    <cacheField name="Supplier" numFmtId="0">
      <sharedItems count="5">
        <s v="TechMart Inc."/>
        <s v="CloudSoft Corp."/>
        <s v="FurniWorks Ltd."/>
        <s v="OfficeSupplies Co."/>
        <s v="QuickDeliver Ltd."/>
      </sharedItems>
    </cacheField>
    <cacheField name="Buyer" numFmtId="0">
      <sharedItems/>
    </cacheField>
    <cacheField name="Spend" numFmtId="0">
      <sharedItems containsSemiMixedTypes="0" containsString="0" containsNumber="1" minValue="1.56" maxValue="18494.599999999999"/>
    </cacheField>
    <cacheField name="Month" numFmtId="0">
      <sharedItems containsSemiMixedTypes="0" containsString="0" containsNumber="1" containsInteger="1" minValue="45292" maxValue="45627" count="12">
        <n v="45383"/>
        <n v="45474"/>
        <n v="45536"/>
        <n v="45292"/>
        <n v="45323"/>
        <n v="45597"/>
        <n v="45627"/>
        <n v="45505"/>
        <n v="45566"/>
        <n v="45352"/>
        <n v="45413"/>
        <n v="4544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001"/>
    <s v="Desk Chair"/>
    <x v="0"/>
    <n v="10"/>
    <n v="113.15"/>
    <n v="1131.5"/>
    <d v="2024-04-19T00:00:00"/>
    <x v="0"/>
    <s v="Kelly Joseph"/>
    <n v="1131.5"/>
    <x v="0"/>
  </r>
  <r>
    <s v="TXN002"/>
    <s v="Stapler"/>
    <x v="1"/>
    <n v="16"/>
    <n v="12.62"/>
    <n v="201.92"/>
    <d v="2024-07-06T00:00:00"/>
    <x v="1"/>
    <s v="Kelly Joseph"/>
    <n v="201.92"/>
    <x v="1"/>
  </r>
  <r>
    <s v="TXN003"/>
    <s v="Annual Software License"/>
    <x v="2"/>
    <n v="1"/>
    <n v="5649.34"/>
    <n v="5649.34"/>
    <d v="2024-09-10T00:00:00"/>
    <x v="0"/>
    <s v="Kelly Joseph"/>
    <n v="5649.34"/>
    <x v="2"/>
  </r>
  <r>
    <s v="TXN004"/>
    <s v="Notepad"/>
    <x v="3"/>
    <n v="13"/>
    <n v="2.92"/>
    <n v="37.96"/>
    <d v="2024-01-21T00:00:00"/>
    <x v="2"/>
    <s v="Luis Holland"/>
    <n v="37.96"/>
    <x v="3"/>
  </r>
  <r>
    <s v="TXN005"/>
    <s v="Notepad"/>
    <x v="3"/>
    <n v="19"/>
    <n v="1.39"/>
    <n v="26.41"/>
    <d v="2024-02-03T00:00:00"/>
    <x v="0"/>
    <s v="Cynthia Jenkins"/>
    <n v="26.41"/>
    <x v="4"/>
  </r>
  <r>
    <s v="TXN006"/>
    <s v="Printer"/>
    <x v="4"/>
    <n v="19"/>
    <n v="150.94"/>
    <n v="2867.86"/>
    <d v="2024-11-28T00:00:00"/>
    <x v="2"/>
    <s v="Stephanie Bennett"/>
    <n v="2867.86"/>
    <x v="5"/>
  </r>
  <r>
    <s v="TXN007"/>
    <s v="Notepad"/>
    <x v="3"/>
    <n v="8"/>
    <n v="2.73"/>
    <n v="21.84"/>
    <d v="2024-02-19T00:00:00"/>
    <x v="3"/>
    <s v="Todd James"/>
    <n v="21.84"/>
    <x v="4"/>
  </r>
  <r>
    <s v="TXN008"/>
    <s v="Notepad"/>
    <x v="3"/>
    <n v="4"/>
    <n v="2.42"/>
    <n v="9.68"/>
    <d v="2024-09-11T00:00:00"/>
    <x v="2"/>
    <s v="Aaron Hopkins"/>
    <n v="9.68"/>
    <x v="2"/>
  </r>
  <r>
    <s v="TXN009"/>
    <s v="Printer Ink"/>
    <x v="3"/>
    <n v="13"/>
    <n v="11.89"/>
    <n v="154.57"/>
    <d v="2024-04-12T00:00:00"/>
    <x v="2"/>
    <s v="Kevin Adams"/>
    <n v="154.57"/>
    <x v="0"/>
  </r>
  <r>
    <s v="TXN010"/>
    <s v="Whiteboard"/>
    <x v="0"/>
    <n v="19"/>
    <n v="100.82"/>
    <n v="1915.58"/>
    <d v="2024-12-14T00:00:00"/>
    <x v="2"/>
    <s v="Aaron Hopkins"/>
    <n v="1915.58"/>
    <x v="6"/>
  </r>
  <r>
    <s v="TXN011"/>
    <s v="Annual Software License"/>
    <x v="2"/>
    <n v="1"/>
    <n v="8183.91"/>
    <n v="8183.91"/>
    <d v="2024-01-13T00:00:00"/>
    <x v="4"/>
    <s v="Aaron Hopkins"/>
    <n v="8183.91"/>
    <x v="3"/>
  </r>
  <r>
    <s v="TXN012"/>
    <s v="Notepad"/>
    <x v="3"/>
    <n v="14"/>
    <n v="2.92"/>
    <n v="40.880000000000003"/>
    <d v="2024-08-01T00:00:00"/>
    <x v="2"/>
    <s v="Walter Pena"/>
    <n v="40.880000000000003"/>
    <x v="7"/>
  </r>
  <r>
    <s v="TXN013"/>
    <s v="Stapler"/>
    <x v="1"/>
    <n v="15"/>
    <n v="8.4"/>
    <n v="126"/>
    <d v="2024-01-17T00:00:00"/>
    <x v="2"/>
    <s v="Jasmine Mcgee"/>
    <n v="126"/>
    <x v="3"/>
  </r>
  <r>
    <s v="TXN014"/>
    <s v="Whiteboard"/>
    <x v="0"/>
    <n v="20"/>
    <n v="111.86"/>
    <n v="2237.1999999999998"/>
    <d v="2024-04-12T00:00:00"/>
    <x v="2"/>
    <s v="Dawn Padilla"/>
    <n v="2237.1999999999998"/>
    <x v="0"/>
  </r>
  <r>
    <s v="TXN015"/>
    <s v="Notepad"/>
    <x v="3"/>
    <n v="17"/>
    <n v="1.41"/>
    <n v="23.97"/>
    <d v="2024-12-30T00:00:00"/>
    <x v="4"/>
    <s v="Stephanie Bennett"/>
    <n v="23.97"/>
    <x v="6"/>
  </r>
  <r>
    <s v="TXN016"/>
    <s v="Monitor"/>
    <x v="4"/>
    <n v="6"/>
    <n v="263.79000000000002"/>
    <n v="1582.74"/>
    <d v="2024-11-06T00:00:00"/>
    <x v="4"/>
    <s v="Walter Pena"/>
    <n v="1582.74"/>
    <x v="5"/>
  </r>
  <r>
    <s v="TXN017"/>
    <s v="Laptop Bag"/>
    <x v="5"/>
    <n v="2"/>
    <n v="32"/>
    <n v="64"/>
    <d v="2024-08-10T00:00:00"/>
    <x v="2"/>
    <s v="Amy Warner"/>
    <n v="64"/>
    <x v="7"/>
  </r>
  <r>
    <s v="TXN018"/>
    <s v="Laptop Bag"/>
    <x v="5"/>
    <n v="16"/>
    <n v="42.02"/>
    <n v="672.32"/>
    <d v="2024-09-02T00:00:00"/>
    <x v="2"/>
    <s v="Lisa Parks"/>
    <n v="672.32"/>
    <x v="2"/>
  </r>
  <r>
    <s v="TXN019"/>
    <s v="Laptop"/>
    <x v="4"/>
    <n v="19"/>
    <n v="815.19"/>
    <n v="15488.61"/>
    <d v="2024-10-22T00:00:00"/>
    <x v="0"/>
    <s v="Jasmine Mcgee"/>
    <n v="15488.61"/>
    <x v="8"/>
  </r>
  <r>
    <s v="TXN020"/>
    <s v="Monitor"/>
    <x v="4"/>
    <n v="9"/>
    <n v="336.61"/>
    <n v="3029.49"/>
    <d v="2024-03-03T00:00:00"/>
    <x v="4"/>
    <s v="Jasmine Mcgee"/>
    <n v="3029.49"/>
    <x v="9"/>
  </r>
  <r>
    <s v="TXN021"/>
    <s v="Stapler"/>
    <x v="1"/>
    <n v="3"/>
    <n v="13.02"/>
    <n v="39.06"/>
    <d v="2024-05-26T00:00:00"/>
    <x v="1"/>
    <s v="Dawn Padilla"/>
    <n v="39.06"/>
    <x v="10"/>
  </r>
  <r>
    <s v="TXN022"/>
    <s v="Printer"/>
    <x v="4"/>
    <n v="13"/>
    <n v="207.33"/>
    <n v="2695.29"/>
    <d v="2024-02-16T00:00:00"/>
    <x v="2"/>
    <s v="Kayla Hanson"/>
    <n v="2695.29"/>
    <x v="4"/>
  </r>
  <r>
    <s v="TXN023"/>
    <s v="Whiteboard"/>
    <x v="0"/>
    <n v="16"/>
    <n v="150.6"/>
    <n v="2409.6"/>
    <d v="2024-08-30T00:00:00"/>
    <x v="2"/>
    <s v="Dawn Padilla"/>
    <n v="2409.6"/>
    <x v="7"/>
  </r>
  <r>
    <s v="TXN024"/>
    <s v="Whiteboard"/>
    <x v="0"/>
    <n v="16"/>
    <n v="139.65"/>
    <n v="2234.4"/>
    <d v="2024-10-10T00:00:00"/>
    <x v="4"/>
    <s v="Lisa Parks"/>
    <n v="2234.4"/>
    <x v="8"/>
  </r>
  <r>
    <s v="TXN025"/>
    <s v="Notepad"/>
    <x v="3"/>
    <n v="18"/>
    <n v="1.1499999999999999"/>
    <n v="20.7"/>
    <d v="2024-05-21T00:00:00"/>
    <x v="4"/>
    <s v="Lisa Parks"/>
    <n v="20.7"/>
    <x v="10"/>
  </r>
  <r>
    <s v="TXN026"/>
    <s v="Desk Chair"/>
    <x v="0"/>
    <n v="15"/>
    <n v="106.14"/>
    <n v="1592.1"/>
    <d v="2024-08-25T00:00:00"/>
    <x v="3"/>
    <s v="Rebecca Bell"/>
    <n v="1592.1"/>
    <x v="7"/>
  </r>
  <r>
    <s v="TXN027"/>
    <s v="Annual Software License"/>
    <x v="2"/>
    <n v="1"/>
    <n v="5099.8599999999997"/>
    <n v="5099.8599999999997"/>
    <d v="2024-01-10T00:00:00"/>
    <x v="2"/>
    <s v="Stephanie Bennett"/>
    <n v="5099.8599999999997"/>
    <x v="3"/>
  </r>
  <r>
    <s v="TXN028"/>
    <s v="Desk Chair"/>
    <x v="0"/>
    <n v="6"/>
    <n v="187.26"/>
    <n v="1123.56"/>
    <d v="2024-08-10T00:00:00"/>
    <x v="0"/>
    <s v="Dawn Padilla"/>
    <n v="1123.56"/>
    <x v="7"/>
  </r>
  <r>
    <s v="TXN029"/>
    <s v="Laptop Bag"/>
    <x v="5"/>
    <n v="5"/>
    <n v="30.33"/>
    <n v="151.65"/>
    <d v="2024-11-10T00:00:00"/>
    <x v="3"/>
    <s v="Stephanie Bennett"/>
    <n v="151.65"/>
    <x v="5"/>
  </r>
  <r>
    <s v="TXN030"/>
    <s v="Printer"/>
    <x v="4"/>
    <n v="4"/>
    <n v="232.03"/>
    <n v="928.12"/>
    <d v="2024-06-15T00:00:00"/>
    <x v="3"/>
    <s v="Aaron Hopkins"/>
    <n v="928.12"/>
    <x v="11"/>
  </r>
  <r>
    <s v="TXN031"/>
    <s v="Laptop"/>
    <x v="4"/>
    <n v="16"/>
    <n v="980.67"/>
    <n v="15690.72"/>
    <d v="2024-05-13T00:00:00"/>
    <x v="4"/>
    <s v="Luis Holland"/>
    <n v="15690.72"/>
    <x v="10"/>
  </r>
  <r>
    <s v="TXN032"/>
    <s v="Annual Software License"/>
    <x v="2"/>
    <n v="1"/>
    <n v="5760.09"/>
    <n v="5760.09"/>
    <d v="2024-01-08T00:00:00"/>
    <x v="0"/>
    <s v="Aaron Hopkins"/>
    <n v="5760.09"/>
    <x v="3"/>
  </r>
  <r>
    <s v="TXN033"/>
    <s v="Monitor"/>
    <x v="4"/>
    <n v="18"/>
    <n v="296.04000000000002"/>
    <n v="5328.72"/>
    <d v="2024-01-14T00:00:00"/>
    <x v="0"/>
    <s v="Kevin Adams"/>
    <n v="5328.72"/>
    <x v="3"/>
  </r>
  <r>
    <s v="TXN034"/>
    <s v="Desk Chair"/>
    <x v="0"/>
    <n v="3"/>
    <n v="106.75"/>
    <n v="320.25"/>
    <d v="2024-04-20T00:00:00"/>
    <x v="1"/>
    <s v="Dawn Padilla"/>
    <n v="320.25"/>
    <x v="0"/>
  </r>
  <r>
    <s v="TXN035"/>
    <s v="Annual Software License"/>
    <x v="2"/>
    <n v="1"/>
    <n v="5563.23"/>
    <n v="5563.23"/>
    <d v="2024-10-26T00:00:00"/>
    <x v="0"/>
    <s v="Laura White"/>
    <n v="5563.23"/>
    <x v="8"/>
  </r>
  <r>
    <s v="TXN036"/>
    <s v="Notepad"/>
    <x v="3"/>
    <n v="13"/>
    <n v="2.62"/>
    <n v="34.06"/>
    <d v="2024-10-19T00:00:00"/>
    <x v="3"/>
    <s v="Stephanie Bennett"/>
    <n v="34.06"/>
    <x v="8"/>
  </r>
  <r>
    <s v="TXN037"/>
    <s v="Printer Ink"/>
    <x v="3"/>
    <n v="8"/>
    <n v="12.63"/>
    <n v="101.04"/>
    <d v="2024-09-11T00:00:00"/>
    <x v="3"/>
    <s v="Rebecca Bell"/>
    <n v="101.04"/>
    <x v="2"/>
  </r>
  <r>
    <s v="TXN038"/>
    <s v="Whiteboard"/>
    <x v="0"/>
    <n v="2"/>
    <n v="124.14"/>
    <n v="248.28"/>
    <d v="2024-05-08T00:00:00"/>
    <x v="2"/>
    <s v="Jessica Hodges"/>
    <n v="248.28"/>
    <x v="10"/>
  </r>
  <r>
    <s v="TXN039"/>
    <s v="Laptop"/>
    <x v="4"/>
    <n v="4"/>
    <n v="989.93"/>
    <n v="3959.72"/>
    <d v="2024-10-06T00:00:00"/>
    <x v="2"/>
    <s v="Nicole Clay"/>
    <n v="3959.72"/>
    <x v="8"/>
  </r>
  <r>
    <s v="TXN040"/>
    <s v="Printer"/>
    <x v="4"/>
    <n v="3"/>
    <n v="170.05"/>
    <n v="510.15"/>
    <d v="2024-09-02T00:00:00"/>
    <x v="4"/>
    <s v="Rebecca Bell"/>
    <n v="510.15"/>
    <x v="2"/>
  </r>
  <r>
    <s v="TXN041"/>
    <s v="Printer Ink"/>
    <x v="3"/>
    <n v="8"/>
    <n v="13.86"/>
    <n v="110.88"/>
    <d v="2024-06-13T00:00:00"/>
    <x v="3"/>
    <s v="Dawn Padilla"/>
    <n v="110.88"/>
    <x v="11"/>
  </r>
  <r>
    <s v="TXN042"/>
    <s v="Whiteboard"/>
    <x v="0"/>
    <n v="3"/>
    <n v="108.27"/>
    <n v="324.81"/>
    <d v="2024-08-25T00:00:00"/>
    <x v="2"/>
    <s v="Kayla Hanson"/>
    <n v="324.81"/>
    <x v="7"/>
  </r>
  <r>
    <s v="TXN043"/>
    <s v="Laptop"/>
    <x v="4"/>
    <n v="9"/>
    <n v="832.13"/>
    <n v="7489.17"/>
    <d v="2024-04-27T00:00:00"/>
    <x v="0"/>
    <s v="Kayla Hanson"/>
    <n v="7489.17"/>
    <x v="0"/>
  </r>
  <r>
    <s v="TXN044"/>
    <s v="Stapler"/>
    <x v="1"/>
    <n v="16"/>
    <n v="13.07"/>
    <n v="209.12"/>
    <d v="2024-01-03T00:00:00"/>
    <x v="0"/>
    <s v="Jasmine Mcgee"/>
    <n v="209.12"/>
    <x v="3"/>
  </r>
  <r>
    <s v="TXN045"/>
    <s v="Laptop"/>
    <x v="4"/>
    <n v="12"/>
    <n v="835.25"/>
    <n v="10023"/>
    <d v="2024-08-05T00:00:00"/>
    <x v="4"/>
    <s v="Laura White"/>
    <n v="10023"/>
    <x v="7"/>
  </r>
  <r>
    <s v="TXN046"/>
    <s v="Stapler"/>
    <x v="1"/>
    <n v="11"/>
    <n v="14.43"/>
    <n v="158.72999999999999"/>
    <d v="2024-04-10T00:00:00"/>
    <x v="1"/>
    <s v="Stephanie Bennett"/>
    <n v="158.72999999999999"/>
    <x v="0"/>
  </r>
  <r>
    <s v="TXN047"/>
    <s v="Monitor"/>
    <x v="4"/>
    <n v="20"/>
    <n v="227.87"/>
    <n v="4557.3999999999996"/>
    <d v="2024-05-01T00:00:00"/>
    <x v="2"/>
    <s v="Noah Long"/>
    <n v="4557.3999999999996"/>
    <x v="10"/>
  </r>
  <r>
    <s v="TXN048"/>
    <s v="Notepad"/>
    <x v="3"/>
    <n v="15"/>
    <n v="2.36"/>
    <n v="35.4"/>
    <d v="2024-01-16T00:00:00"/>
    <x v="4"/>
    <s v="Melissa Mckee"/>
    <n v="35.4"/>
    <x v="3"/>
  </r>
  <r>
    <s v="TXN049"/>
    <s v="Stapler"/>
    <x v="1"/>
    <n v="11"/>
    <n v="6.42"/>
    <n v="70.62"/>
    <d v="2024-08-01T00:00:00"/>
    <x v="3"/>
    <s v="Amy Warner"/>
    <n v="70.62"/>
    <x v="7"/>
  </r>
  <r>
    <s v="TXN050"/>
    <s v="Desk Chair"/>
    <x v="0"/>
    <n v="16"/>
    <n v="163.77000000000001"/>
    <n v="2620.3200000000002"/>
    <d v="2024-02-27T00:00:00"/>
    <x v="4"/>
    <s v="Kelly Joseph"/>
    <n v="2620.3200000000002"/>
    <x v="4"/>
  </r>
  <r>
    <s v="TXN051"/>
    <s v="Whiteboard"/>
    <x v="0"/>
    <n v="10"/>
    <n v="122.34"/>
    <n v="1223.4000000000001"/>
    <d v="2024-07-31T00:00:00"/>
    <x v="1"/>
    <s v="Kevin Adams"/>
    <n v="1223.4000000000001"/>
    <x v="1"/>
  </r>
  <r>
    <s v="TXN052"/>
    <s v="Laptop"/>
    <x v="4"/>
    <n v="1"/>
    <n v="876.63"/>
    <n v="876.63"/>
    <d v="2024-05-09T00:00:00"/>
    <x v="2"/>
    <s v="Dawn Padilla"/>
    <n v="876.63"/>
    <x v="10"/>
  </r>
  <r>
    <s v="TXN053"/>
    <s v="Printer"/>
    <x v="4"/>
    <n v="9"/>
    <n v="240.89"/>
    <n v="2168.0100000000002"/>
    <d v="2024-07-06T00:00:00"/>
    <x v="4"/>
    <s v="Laura White"/>
    <n v="2168.0100000000002"/>
    <x v="1"/>
  </r>
  <r>
    <s v="TXN054"/>
    <s v="Laptop"/>
    <x v="4"/>
    <n v="14"/>
    <n v="812.03"/>
    <n v="11368.42"/>
    <d v="2024-01-01T00:00:00"/>
    <x v="4"/>
    <s v="Laura White"/>
    <n v="11368.42"/>
    <x v="3"/>
  </r>
  <r>
    <s v="TXN055"/>
    <s v="Desk Chair"/>
    <x v="0"/>
    <n v="20"/>
    <n v="183.44"/>
    <n v="3668.8"/>
    <d v="2024-12-08T00:00:00"/>
    <x v="0"/>
    <s v="Jessica Hodges"/>
    <n v="3668.8"/>
    <x v="6"/>
  </r>
  <r>
    <s v="TXN056"/>
    <s v="Desk Chair"/>
    <x v="0"/>
    <n v="3"/>
    <n v="116.49"/>
    <n v="349.47"/>
    <d v="2024-09-24T00:00:00"/>
    <x v="4"/>
    <s v="Dawn Padilla"/>
    <n v="349.47"/>
    <x v="2"/>
  </r>
  <r>
    <s v="TXN057"/>
    <s v="Laptop Bag"/>
    <x v="5"/>
    <n v="5"/>
    <n v="21.65"/>
    <n v="108.25"/>
    <d v="2024-02-04T00:00:00"/>
    <x v="2"/>
    <s v="Dawn Padilla"/>
    <n v="108.25"/>
    <x v="4"/>
  </r>
  <r>
    <s v="TXN058"/>
    <s v="Printer Ink"/>
    <x v="3"/>
    <n v="17"/>
    <n v="11.86"/>
    <n v="201.62"/>
    <d v="2024-11-28T00:00:00"/>
    <x v="2"/>
    <s v="Kelly Joseph"/>
    <n v="201.62"/>
    <x v="5"/>
  </r>
  <r>
    <s v="TXN059"/>
    <s v="Desk Chair"/>
    <x v="0"/>
    <n v="20"/>
    <n v="149.44999999999999"/>
    <n v="2989"/>
    <d v="2024-07-10T00:00:00"/>
    <x v="1"/>
    <s v="Kayla Hanson"/>
    <n v="2989"/>
    <x v="1"/>
  </r>
  <r>
    <s v="TXN060"/>
    <s v="Monitor"/>
    <x v="4"/>
    <n v="11"/>
    <n v="348.44"/>
    <n v="3832.84"/>
    <d v="2024-05-28T00:00:00"/>
    <x v="2"/>
    <s v="Stephanie Bennett"/>
    <n v="3832.84"/>
    <x v="10"/>
  </r>
  <r>
    <s v="TXN061"/>
    <s v="Laptop"/>
    <x v="4"/>
    <n v="20"/>
    <n v="920.32"/>
    <n v="18406.400000000001"/>
    <d v="2024-11-17T00:00:00"/>
    <x v="0"/>
    <s v="Dawn Padilla"/>
    <n v="18406.400000000001"/>
    <x v="5"/>
  </r>
  <r>
    <s v="TXN062"/>
    <s v="Printer"/>
    <x v="4"/>
    <n v="5"/>
    <n v="292.98"/>
    <n v="1464.9"/>
    <d v="2024-08-20T00:00:00"/>
    <x v="4"/>
    <s v="Lisa Parks"/>
    <n v="1464.9"/>
    <x v="7"/>
  </r>
  <r>
    <s v="TXN063"/>
    <s v="Whiteboard"/>
    <x v="0"/>
    <n v="18"/>
    <n v="167.63"/>
    <n v="3017.34"/>
    <d v="2024-05-02T00:00:00"/>
    <x v="1"/>
    <s v="Rebecca Bell"/>
    <n v="3017.34"/>
    <x v="10"/>
  </r>
  <r>
    <s v="TXN064"/>
    <s v="Stapler"/>
    <x v="1"/>
    <n v="13"/>
    <n v="14.39"/>
    <n v="187.07"/>
    <d v="2024-10-29T00:00:00"/>
    <x v="3"/>
    <s v="Kelly Joseph"/>
    <n v="187.07"/>
    <x v="8"/>
  </r>
  <r>
    <s v="TXN065"/>
    <s v="Stapler"/>
    <x v="1"/>
    <n v="3"/>
    <n v="6.34"/>
    <n v="19.02"/>
    <d v="2024-05-02T00:00:00"/>
    <x v="1"/>
    <s v="Kelly Joseph"/>
    <n v="19.02"/>
    <x v="10"/>
  </r>
  <r>
    <s v="TXN066"/>
    <s v="Monitor"/>
    <x v="4"/>
    <n v="5"/>
    <n v="227.26"/>
    <n v="1136.3"/>
    <d v="2024-06-30T00:00:00"/>
    <x v="4"/>
    <s v="Dawn Padilla"/>
    <n v="1136.3"/>
    <x v="11"/>
  </r>
  <r>
    <s v="TXN067"/>
    <s v="Notepad"/>
    <x v="3"/>
    <n v="12"/>
    <n v="2.2000000000000002"/>
    <n v="26.4"/>
    <d v="2024-06-15T00:00:00"/>
    <x v="3"/>
    <s v="Todd James"/>
    <n v="26.4"/>
    <x v="11"/>
  </r>
  <r>
    <s v="TXN068"/>
    <s v="Desk Chair"/>
    <x v="0"/>
    <n v="15"/>
    <n v="163.44999999999999"/>
    <n v="2451.75"/>
    <d v="2024-04-08T00:00:00"/>
    <x v="4"/>
    <s v="Todd James"/>
    <n v="2451.75"/>
    <x v="0"/>
  </r>
  <r>
    <s v="TXN069"/>
    <s v="Notepad"/>
    <x v="3"/>
    <n v="10"/>
    <n v="1.38"/>
    <n v="13.8"/>
    <d v="2024-11-30T00:00:00"/>
    <x v="1"/>
    <s v="Nicole Clay"/>
    <n v="13.8"/>
    <x v="5"/>
  </r>
  <r>
    <s v="TXN070"/>
    <s v="Desk Chair"/>
    <x v="0"/>
    <n v="11"/>
    <n v="118"/>
    <n v="1298"/>
    <d v="2024-03-19T00:00:00"/>
    <x v="3"/>
    <s v="Walter Pena"/>
    <n v="1298"/>
    <x v="9"/>
  </r>
  <r>
    <s v="TXN071"/>
    <s v="Stapler"/>
    <x v="1"/>
    <n v="7"/>
    <n v="14.31"/>
    <n v="100.17"/>
    <d v="2024-02-03T00:00:00"/>
    <x v="3"/>
    <s v="Melissa Mckee"/>
    <n v="100.17"/>
    <x v="4"/>
  </r>
  <r>
    <s v="TXN072"/>
    <s v="Notepad"/>
    <x v="3"/>
    <n v="5"/>
    <n v="1.97"/>
    <n v="9.85"/>
    <d v="2024-05-20T00:00:00"/>
    <x v="0"/>
    <s v="Kevin Adams"/>
    <n v="9.85"/>
    <x v="10"/>
  </r>
  <r>
    <s v="TXN073"/>
    <s v="Laptop"/>
    <x v="4"/>
    <n v="2"/>
    <n v="979.47"/>
    <n v="1958.94"/>
    <d v="2024-08-13T00:00:00"/>
    <x v="0"/>
    <s v="Jasmine Mcgee"/>
    <n v="1958.94"/>
    <x v="7"/>
  </r>
  <r>
    <s v="TXN074"/>
    <s v="Laptop Bag"/>
    <x v="5"/>
    <n v="5"/>
    <n v="46.27"/>
    <n v="231.35"/>
    <d v="2024-05-20T00:00:00"/>
    <x v="2"/>
    <s v="Luis Holland"/>
    <n v="231.35"/>
    <x v="10"/>
  </r>
  <r>
    <s v="TXN075"/>
    <s v="Stapler"/>
    <x v="1"/>
    <n v="8"/>
    <n v="10.97"/>
    <n v="87.76"/>
    <d v="2024-12-27T00:00:00"/>
    <x v="4"/>
    <s v="Jasmine Mcgee"/>
    <n v="87.76"/>
    <x v="6"/>
  </r>
  <r>
    <s v="TXN076"/>
    <s v="Laptop"/>
    <x v="4"/>
    <n v="2"/>
    <n v="903.12"/>
    <n v="1806.24"/>
    <d v="2024-02-04T00:00:00"/>
    <x v="0"/>
    <s v="Noah Long"/>
    <n v="1806.24"/>
    <x v="4"/>
  </r>
  <r>
    <s v="TXN077"/>
    <s v="Printer"/>
    <x v="4"/>
    <n v="18"/>
    <n v="281.14"/>
    <n v="5060.5200000000004"/>
    <d v="2024-10-06T00:00:00"/>
    <x v="3"/>
    <s v="Jessica Hodges"/>
    <n v="5060.5200000000004"/>
    <x v="8"/>
  </r>
  <r>
    <s v="TXN078"/>
    <s v="Notepad"/>
    <x v="3"/>
    <n v="5"/>
    <n v="2.5499999999999998"/>
    <n v="12.75"/>
    <d v="2024-02-12T00:00:00"/>
    <x v="0"/>
    <s v="Amy Warner"/>
    <n v="12.75"/>
    <x v="4"/>
  </r>
  <r>
    <s v="TXN079"/>
    <s v="Printer Ink"/>
    <x v="3"/>
    <n v="4"/>
    <n v="10.43"/>
    <n v="41.72"/>
    <d v="2024-09-01T00:00:00"/>
    <x v="2"/>
    <s v="Nicole Clay"/>
    <n v="41.72"/>
    <x v="2"/>
  </r>
  <r>
    <s v="TXN080"/>
    <s v="Printer"/>
    <x v="4"/>
    <n v="6"/>
    <n v="189.82"/>
    <n v="1138.92"/>
    <d v="2024-11-15T00:00:00"/>
    <x v="4"/>
    <s v="Todd James"/>
    <n v="1138.92"/>
    <x v="5"/>
  </r>
  <r>
    <s v="TXN081"/>
    <s v="Monitor"/>
    <x v="4"/>
    <n v="12"/>
    <n v="299.72000000000003"/>
    <n v="3596.64"/>
    <d v="2024-02-27T00:00:00"/>
    <x v="2"/>
    <s v="Walter Pena"/>
    <n v="3596.64"/>
    <x v="4"/>
  </r>
  <r>
    <s v="TXN082"/>
    <s v="Stapler"/>
    <x v="1"/>
    <n v="12"/>
    <n v="12.08"/>
    <n v="144.96"/>
    <d v="2024-01-10T00:00:00"/>
    <x v="1"/>
    <s v="Dawn Padilla"/>
    <n v="144.96"/>
    <x v="3"/>
  </r>
  <r>
    <s v="TXN083"/>
    <s v="Annual Software License"/>
    <x v="2"/>
    <n v="1"/>
    <n v="9357.86"/>
    <n v="9357.86"/>
    <d v="2024-12-02T00:00:00"/>
    <x v="0"/>
    <s v="Lisa Parks"/>
    <n v="9357.86"/>
    <x v="6"/>
  </r>
  <r>
    <s v="TXN084"/>
    <s v="Annual Software License"/>
    <x v="2"/>
    <n v="1"/>
    <n v="7221.2"/>
    <n v="7221.2"/>
    <d v="2024-09-04T00:00:00"/>
    <x v="0"/>
    <s v="Barry Johnson"/>
    <n v="7221.2"/>
    <x v="2"/>
  </r>
  <r>
    <s v="TXN085"/>
    <s v="Whiteboard"/>
    <x v="0"/>
    <n v="19"/>
    <n v="124.01"/>
    <n v="2356.19"/>
    <d v="2024-05-22T00:00:00"/>
    <x v="4"/>
    <s v="Luis Holland"/>
    <n v="2356.19"/>
    <x v="10"/>
  </r>
  <r>
    <s v="TXN086"/>
    <s v="Whiteboard"/>
    <x v="0"/>
    <n v="5"/>
    <n v="153.07"/>
    <n v="765.35"/>
    <d v="2024-03-07T00:00:00"/>
    <x v="0"/>
    <s v="Aaron Hopkins"/>
    <n v="765.35"/>
    <x v="9"/>
  </r>
  <r>
    <s v="TXN087"/>
    <s v="Desk Chair"/>
    <x v="0"/>
    <n v="15"/>
    <n v="165.58"/>
    <n v="2483.6999999999998"/>
    <d v="2024-04-29T00:00:00"/>
    <x v="0"/>
    <s v="Amy Warner"/>
    <n v="2483.6999999999998"/>
    <x v="0"/>
  </r>
  <r>
    <s v="TXN088"/>
    <s v="Annual Software License"/>
    <x v="2"/>
    <n v="1"/>
    <n v="5555.59"/>
    <n v="5555.59"/>
    <d v="2024-04-20T00:00:00"/>
    <x v="3"/>
    <s v="Amy Warner"/>
    <n v="5555.59"/>
    <x v="0"/>
  </r>
  <r>
    <s v="TXN089"/>
    <s v="Whiteboard"/>
    <x v="0"/>
    <n v="6"/>
    <n v="150.57"/>
    <n v="903.42"/>
    <d v="2024-07-23T00:00:00"/>
    <x v="0"/>
    <s v="Lisa Parks"/>
    <n v="903.42"/>
    <x v="1"/>
  </r>
  <r>
    <s v="TXN090"/>
    <s v="Laptop"/>
    <x v="4"/>
    <n v="6"/>
    <n v="832.8"/>
    <n v="4996.8"/>
    <d v="2024-11-06T00:00:00"/>
    <x v="1"/>
    <s v="Laura White"/>
    <n v="4996.8"/>
    <x v="5"/>
  </r>
  <r>
    <s v="TXN091"/>
    <s v="Desk Chair"/>
    <x v="0"/>
    <n v="15"/>
    <n v="195.46"/>
    <n v="2931.9"/>
    <d v="2024-09-09T00:00:00"/>
    <x v="4"/>
    <s v="Amy Warner"/>
    <n v="2931.9"/>
    <x v="2"/>
  </r>
  <r>
    <s v="TXN092"/>
    <s v="Stapler"/>
    <x v="1"/>
    <n v="7"/>
    <n v="11.95"/>
    <n v="83.65"/>
    <d v="2024-09-19T00:00:00"/>
    <x v="4"/>
    <s v="Barry Johnson"/>
    <n v="83.65"/>
    <x v="2"/>
  </r>
  <r>
    <s v="TXN093"/>
    <s v="Monitor"/>
    <x v="4"/>
    <n v="4"/>
    <n v="246.9"/>
    <n v="987.6"/>
    <d v="2024-11-05T00:00:00"/>
    <x v="1"/>
    <s v="Todd James"/>
    <n v="987.6"/>
    <x v="5"/>
  </r>
  <r>
    <s v="TXN094"/>
    <s v="Laptop"/>
    <x v="4"/>
    <n v="7"/>
    <n v="900.44"/>
    <n v="6303.08"/>
    <d v="2024-08-29T00:00:00"/>
    <x v="1"/>
    <s v="Barry Johnson"/>
    <n v="6303.08"/>
    <x v="7"/>
  </r>
  <r>
    <s v="TXN095"/>
    <s v="Desk Chair"/>
    <x v="0"/>
    <n v="12"/>
    <n v="181.86"/>
    <n v="2182.3200000000002"/>
    <d v="2024-02-21T00:00:00"/>
    <x v="4"/>
    <s v="Rebecca Bell"/>
    <n v="2182.3200000000002"/>
    <x v="4"/>
  </r>
  <r>
    <s v="TXN096"/>
    <s v="Desk Chair"/>
    <x v="0"/>
    <n v="1"/>
    <n v="153.21"/>
    <n v="153.21"/>
    <d v="2024-03-15T00:00:00"/>
    <x v="0"/>
    <s v="Kelly Joseph"/>
    <n v="153.21"/>
    <x v="9"/>
  </r>
  <r>
    <s v="TXN097"/>
    <s v="Desk Chair"/>
    <x v="0"/>
    <n v="2"/>
    <n v="109.08"/>
    <n v="218.16"/>
    <d v="2024-08-23T00:00:00"/>
    <x v="1"/>
    <s v="Laura White"/>
    <n v="218.16"/>
    <x v="7"/>
  </r>
  <r>
    <s v="TXN098"/>
    <s v="Laptop Bag"/>
    <x v="5"/>
    <n v="12"/>
    <n v="21.39"/>
    <n v="256.68"/>
    <d v="2024-09-16T00:00:00"/>
    <x v="3"/>
    <s v="Luis Holland"/>
    <n v="256.68"/>
    <x v="2"/>
  </r>
  <r>
    <s v="TXN099"/>
    <s v="Annual Software License"/>
    <x v="2"/>
    <n v="1"/>
    <n v="9534.43"/>
    <n v="9534.43"/>
    <d v="2024-04-29T00:00:00"/>
    <x v="2"/>
    <s v="Stephanie Bennett"/>
    <n v="9534.43"/>
    <x v="0"/>
  </r>
  <r>
    <s v="TXN100"/>
    <s v="Laptop Bag"/>
    <x v="5"/>
    <n v="10"/>
    <n v="20.399999999999999"/>
    <n v="204"/>
    <d v="2024-11-23T00:00:00"/>
    <x v="4"/>
    <s v="Jasmine Mcgee"/>
    <n v="204"/>
    <x v="5"/>
  </r>
  <r>
    <s v="TXN101"/>
    <s v="Laptop Bag"/>
    <x v="5"/>
    <n v="17"/>
    <n v="24.34"/>
    <n v="413.78"/>
    <d v="2024-10-05T00:00:00"/>
    <x v="3"/>
    <s v="Todd James"/>
    <n v="413.78"/>
    <x v="8"/>
  </r>
  <r>
    <s v="TXN102"/>
    <s v="Printer"/>
    <x v="4"/>
    <n v="1"/>
    <n v="214.63"/>
    <n v="214.63"/>
    <d v="2024-08-02T00:00:00"/>
    <x v="0"/>
    <s v="Walter Pena"/>
    <n v="214.63"/>
    <x v="7"/>
  </r>
  <r>
    <s v="TXN103"/>
    <s v="Annual Software License"/>
    <x v="2"/>
    <n v="1"/>
    <n v="8578.7199999999993"/>
    <n v="8578.7199999999993"/>
    <d v="2024-10-04T00:00:00"/>
    <x v="0"/>
    <s v="Nicole Clay"/>
    <n v="8578.7199999999993"/>
    <x v="8"/>
  </r>
  <r>
    <s v="TXN104"/>
    <s v="Printer Ink"/>
    <x v="3"/>
    <n v="11"/>
    <n v="11.27"/>
    <n v="123.97"/>
    <d v="2024-08-29T00:00:00"/>
    <x v="1"/>
    <s v="Jasmine Mcgee"/>
    <n v="123.97"/>
    <x v="7"/>
  </r>
  <r>
    <s v="TXN105"/>
    <s v="Laptop"/>
    <x v="4"/>
    <n v="1"/>
    <n v="848.76"/>
    <n v="848.76"/>
    <d v="2024-12-25T00:00:00"/>
    <x v="1"/>
    <s v="Nicole Clay"/>
    <n v="848.76"/>
    <x v="6"/>
  </r>
  <r>
    <s v="TXN106"/>
    <s v="Whiteboard"/>
    <x v="0"/>
    <n v="6"/>
    <n v="115.95"/>
    <n v="695.7"/>
    <d v="2024-12-24T00:00:00"/>
    <x v="3"/>
    <s v="Walter Pena"/>
    <n v="695.7"/>
    <x v="6"/>
  </r>
  <r>
    <s v="TXN107"/>
    <s v="Whiteboard"/>
    <x v="0"/>
    <n v="2"/>
    <n v="124.67"/>
    <n v="249.34"/>
    <d v="2024-08-09T00:00:00"/>
    <x v="0"/>
    <s v="Melissa Mckee"/>
    <n v="249.34"/>
    <x v="7"/>
  </r>
  <r>
    <s v="TXN108"/>
    <s v="Laptop Bag"/>
    <x v="5"/>
    <n v="16"/>
    <n v="23.11"/>
    <n v="369.76"/>
    <d v="2024-08-25T00:00:00"/>
    <x v="2"/>
    <s v="Stephanie Bennett"/>
    <n v="369.76"/>
    <x v="7"/>
  </r>
  <r>
    <s v="TXN109"/>
    <s v="Printer"/>
    <x v="4"/>
    <n v="6"/>
    <n v="286.22000000000003"/>
    <n v="1717.32"/>
    <d v="2024-10-06T00:00:00"/>
    <x v="3"/>
    <s v="Aaron Hopkins"/>
    <n v="1717.32"/>
    <x v="8"/>
  </r>
  <r>
    <s v="TXN110"/>
    <s v="Whiteboard"/>
    <x v="0"/>
    <n v="14"/>
    <n v="175.56"/>
    <n v="2457.84"/>
    <d v="2024-08-17T00:00:00"/>
    <x v="2"/>
    <s v="Todd James"/>
    <n v="2457.84"/>
    <x v="7"/>
  </r>
  <r>
    <s v="TXN111"/>
    <s v="Laptop Bag"/>
    <x v="5"/>
    <n v="20"/>
    <n v="27.36"/>
    <n v="547.20000000000005"/>
    <d v="2024-03-08T00:00:00"/>
    <x v="0"/>
    <s v="Noah Long"/>
    <n v="547.20000000000005"/>
    <x v="9"/>
  </r>
  <r>
    <s v="TXN112"/>
    <s v="Annual Software License"/>
    <x v="2"/>
    <n v="1"/>
    <n v="7628.02"/>
    <n v="7628.02"/>
    <d v="2024-06-06T00:00:00"/>
    <x v="4"/>
    <s v="Barry Johnson"/>
    <n v="7628.02"/>
    <x v="11"/>
  </r>
  <r>
    <s v="TXN113"/>
    <s v="Stapler"/>
    <x v="1"/>
    <n v="19"/>
    <n v="11.32"/>
    <n v="215.08"/>
    <d v="2024-07-11T00:00:00"/>
    <x v="4"/>
    <s v="Todd James"/>
    <n v="215.08"/>
    <x v="1"/>
  </r>
  <r>
    <s v="TXN114"/>
    <s v="Notepad"/>
    <x v="3"/>
    <n v="15"/>
    <n v="2.4900000000000002"/>
    <n v="37.35"/>
    <d v="2024-01-02T00:00:00"/>
    <x v="0"/>
    <s v="Kayla Hanson"/>
    <n v="37.35"/>
    <x v="3"/>
  </r>
  <r>
    <s v="TXN115"/>
    <s v="Desk Chair"/>
    <x v="0"/>
    <n v="18"/>
    <n v="150.19999999999999"/>
    <n v="2703.6"/>
    <d v="2024-04-26T00:00:00"/>
    <x v="0"/>
    <s v="Kelly Joseph"/>
    <n v="2703.6"/>
    <x v="0"/>
  </r>
  <r>
    <s v="TXN116"/>
    <s v="Whiteboard"/>
    <x v="0"/>
    <n v="19"/>
    <n v="174.66"/>
    <n v="3318.54"/>
    <d v="2024-08-12T00:00:00"/>
    <x v="4"/>
    <s v="Amy Warner"/>
    <n v="3318.54"/>
    <x v="7"/>
  </r>
  <r>
    <s v="TXN117"/>
    <s v="Printer"/>
    <x v="4"/>
    <n v="15"/>
    <n v="194.47"/>
    <n v="2917.05"/>
    <d v="2024-09-07T00:00:00"/>
    <x v="3"/>
    <s v="Kayla Hanson"/>
    <n v="2917.05"/>
    <x v="2"/>
  </r>
  <r>
    <s v="TXN118"/>
    <s v="Printer Ink"/>
    <x v="3"/>
    <n v="16"/>
    <n v="19.45"/>
    <n v="311.2"/>
    <d v="2024-01-08T00:00:00"/>
    <x v="4"/>
    <s v="Jessica Hodges"/>
    <n v="311.2"/>
    <x v="3"/>
  </r>
  <r>
    <s v="TXN119"/>
    <s v="Stapler"/>
    <x v="1"/>
    <n v="19"/>
    <n v="9.39"/>
    <n v="178.41"/>
    <d v="2024-12-19T00:00:00"/>
    <x v="0"/>
    <s v="Cynthia Jenkins"/>
    <n v="178.41"/>
    <x v="6"/>
  </r>
  <r>
    <s v="TXN120"/>
    <s v="Laptop Bag"/>
    <x v="5"/>
    <n v="12"/>
    <n v="38.94"/>
    <n v="467.28"/>
    <d v="2024-12-27T00:00:00"/>
    <x v="4"/>
    <s v="Kelly Joseph"/>
    <n v="467.28"/>
    <x v="6"/>
  </r>
  <r>
    <s v="TXN121"/>
    <s v="Annual Software License"/>
    <x v="2"/>
    <n v="1"/>
    <n v="6771.79"/>
    <n v="6771.79"/>
    <d v="2024-04-10T00:00:00"/>
    <x v="0"/>
    <s v="Walter Pena"/>
    <n v="6771.79"/>
    <x v="0"/>
  </r>
  <r>
    <s v="TXN122"/>
    <s v="Whiteboard"/>
    <x v="0"/>
    <n v="2"/>
    <n v="186.73"/>
    <n v="373.46"/>
    <d v="2024-06-19T00:00:00"/>
    <x v="3"/>
    <s v="Luis Holland"/>
    <n v="373.46"/>
    <x v="11"/>
  </r>
  <r>
    <s v="TXN123"/>
    <s v="Stapler"/>
    <x v="1"/>
    <n v="16"/>
    <n v="12.78"/>
    <n v="204.48"/>
    <d v="2024-02-20T00:00:00"/>
    <x v="1"/>
    <s v="Stephanie Bennett"/>
    <n v="204.48"/>
    <x v="4"/>
  </r>
  <r>
    <s v="TXN124"/>
    <s v="Notepad"/>
    <x v="3"/>
    <n v="1"/>
    <n v="2.72"/>
    <n v="2.72"/>
    <d v="2024-03-30T00:00:00"/>
    <x v="2"/>
    <s v="Barry Johnson"/>
    <n v="2.72"/>
    <x v="9"/>
  </r>
  <r>
    <s v="TXN125"/>
    <s v="Desk Chair"/>
    <x v="0"/>
    <n v="6"/>
    <n v="118.67"/>
    <n v="712.02"/>
    <d v="2024-01-20T00:00:00"/>
    <x v="0"/>
    <s v="Melissa Mckee"/>
    <n v="712.02"/>
    <x v="3"/>
  </r>
  <r>
    <s v="TXN126"/>
    <s v="Laptop"/>
    <x v="4"/>
    <n v="4"/>
    <n v="994.88"/>
    <n v="3979.52"/>
    <d v="2024-04-03T00:00:00"/>
    <x v="2"/>
    <s v="Laura White"/>
    <n v="3979.52"/>
    <x v="0"/>
  </r>
  <r>
    <s v="TXN127"/>
    <s v="Printer Ink"/>
    <x v="3"/>
    <n v="3"/>
    <n v="18.63"/>
    <n v="55.89"/>
    <d v="2024-05-11T00:00:00"/>
    <x v="1"/>
    <s v="Barry Johnson"/>
    <n v="55.89"/>
    <x v="10"/>
  </r>
  <r>
    <s v="TXN128"/>
    <s v="Stapler"/>
    <x v="1"/>
    <n v="8"/>
    <n v="12.92"/>
    <n v="103.36"/>
    <d v="2024-07-31T00:00:00"/>
    <x v="2"/>
    <s v="Walter Pena"/>
    <n v="103.36"/>
    <x v="1"/>
  </r>
  <r>
    <s v="TXN129"/>
    <s v="Printer Ink"/>
    <x v="3"/>
    <n v="10"/>
    <n v="14.97"/>
    <n v="149.69999999999999"/>
    <d v="2024-05-01T00:00:00"/>
    <x v="4"/>
    <s v="Amy Warner"/>
    <n v="149.69999999999999"/>
    <x v="10"/>
  </r>
  <r>
    <s v="TXN130"/>
    <s v="Laptop Bag"/>
    <x v="5"/>
    <n v="10"/>
    <n v="26.48"/>
    <n v="264.8"/>
    <d v="2024-04-20T00:00:00"/>
    <x v="1"/>
    <s v="Luis Holland"/>
    <n v="264.8"/>
    <x v="0"/>
  </r>
  <r>
    <s v="TXN131"/>
    <s v="Monitor"/>
    <x v="4"/>
    <n v="11"/>
    <n v="301.04000000000002"/>
    <n v="3311.44"/>
    <d v="2024-05-18T00:00:00"/>
    <x v="4"/>
    <s v="Luis Holland"/>
    <n v="3311.44"/>
    <x v="10"/>
  </r>
  <r>
    <s v="TXN132"/>
    <s v="Stapler"/>
    <x v="1"/>
    <n v="16"/>
    <n v="13.81"/>
    <n v="220.96"/>
    <d v="2024-12-16T00:00:00"/>
    <x v="2"/>
    <s v="Luis Holland"/>
    <n v="220.96"/>
    <x v="6"/>
  </r>
  <r>
    <s v="TXN133"/>
    <s v="Annual Software License"/>
    <x v="2"/>
    <n v="1"/>
    <n v="8878.61"/>
    <n v="8878.61"/>
    <d v="2024-09-20T00:00:00"/>
    <x v="4"/>
    <s v="Barry Johnson"/>
    <n v="8878.61"/>
    <x v="2"/>
  </r>
  <r>
    <s v="TXN134"/>
    <s v="Laptop"/>
    <x v="4"/>
    <n v="17"/>
    <n v="830.68"/>
    <n v="14121.56"/>
    <d v="2024-04-21T00:00:00"/>
    <x v="3"/>
    <s v="Todd James"/>
    <n v="14121.56"/>
    <x v="0"/>
  </r>
  <r>
    <s v="TXN135"/>
    <s v="Desk Chair"/>
    <x v="0"/>
    <n v="5"/>
    <n v="106.3"/>
    <n v="531.5"/>
    <d v="2024-12-28T00:00:00"/>
    <x v="1"/>
    <s v="Melissa Mckee"/>
    <n v="531.5"/>
    <x v="6"/>
  </r>
  <r>
    <s v="TXN136"/>
    <s v="Printer Ink"/>
    <x v="3"/>
    <n v="5"/>
    <n v="14.07"/>
    <n v="70.349999999999994"/>
    <d v="2024-04-23T00:00:00"/>
    <x v="0"/>
    <s v="Laura White"/>
    <n v="70.349999999999994"/>
    <x v="0"/>
  </r>
  <r>
    <s v="TXN137"/>
    <s v="Laptop"/>
    <x v="4"/>
    <n v="13"/>
    <n v="825.83"/>
    <n v="10735.79"/>
    <d v="2024-03-14T00:00:00"/>
    <x v="1"/>
    <s v="Rebecca Bell"/>
    <n v="10735.79"/>
    <x v="9"/>
  </r>
  <r>
    <s v="TXN138"/>
    <s v="Laptop Bag"/>
    <x v="5"/>
    <n v="14"/>
    <n v="44.92"/>
    <n v="628.88"/>
    <d v="2024-10-28T00:00:00"/>
    <x v="2"/>
    <s v="Jessica Hodges"/>
    <n v="628.88"/>
    <x v="8"/>
  </r>
  <r>
    <s v="TXN139"/>
    <s v="Monitor"/>
    <x v="4"/>
    <n v="13"/>
    <n v="239.84"/>
    <n v="3117.92"/>
    <d v="2024-09-24T00:00:00"/>
    <x v="4"/>
    <s v="Luis Holland"/>
    <n v="3117.92"/>
    <x v="2"/>
  </r>
  <r>
    <s v="TXN140"/>
    <s v="Printer Ink"/>
    <x v="3"/>
    <n v="8"/>
    <n v="11.53"/>
    <n v="92.24"/>
    <d v="2024-02-29T00:00:00"/>
    <x v="3"/>
    <s v="Cynthia Jenkins"/>
    <n v="92.24"/>
    <x v="4"/>
  </r>
  <r>
    <s v="TXN141"/>
    <s v="Annual Software License"/>
    <x v="2"/>
    <n v="1"/>
    <n v="5452.69"/>
    <n v="5452.69"/>
    <d v="2024-05-12T00:00:00"/>
    <x v="2"/>
    <s v="Cynthia Jenkins"/>
    <n v="5452.69"/>
    <x v="10"/>
  </r>
  <r>
    <s v="TXN142"/>
    <s v="Annual Software License"/>
    <x v="2"/>
    <n v="1"/>
    <n v="6342.34"/>
    <n v="6342.34"/>
    <d v="2024-06-27T00:00:00"/>
    <x v="1"/>
    <s v="Jasmine Mcgee"/>
    <n v="6342.34"/>
    <x v="11"/>
  </r>
  <r>
    <s v="TXN143"/>
    <s v="Stapler"/>
    <x v="1"/>
    <n v="13"/>
    <n v="8.92"/>
    <n v="115.96"/>
    <d v="2024-04-09T00:00:00"/>
    <x v="0"/>
    <s v="Kevin Adams"/>
    <n v="115.96"/>
    <x v="0"/>
  </r>
  <r>
    <s v="TXN144"/>
    <s v="Laptop Bag"/>
    <x v="5"/>
    <n v="18"/>
    <n v="41.98"/>
    <n v="755.64"/>
    <d v="2024-06-12T00:00:00"/>
    <x v="0"/>
    <s v="Kelly Joseph"/>
    <n v="755.64"/>
    <x v="11"/>
  </r>
  <r>
    <s v="TXN145"/>
    <s v="Desk Chair"/>
    <x v="0"/>
    <n v="9"/>
    <n v="117.69"/>
    <n v="1059.21"/>
    <d v="2024-11-27T00:00:00"/>
    <x v="1"/>
    <s v="Jasmine Mcgee"/>
    <n v="1059.21"/>
    <x v="5"/>
  </r>
  <r>
    <s v="TXN146"/>
    <s v="Desk Chair"/>
    <x v="0"/>
    <n v="18"/>
    <n v="108.01"/>
    <n v="1944.18"/>
    <d v="2024-12-11T00:00:00"/>
    <x v="3"/>
    <s v="Cynthia Jenkins"/>
    <n v="1944.18"/>
    <x v="6"/>
  </r>
  <r>
    <s v="TXN147"/>
    <s v="Desk Chair"/>
    <x v="0"/>
    <n v="16"/>
    <n v="132.19999999999999"/>
    <n v="2115.1999999999998"/>
    <d v="2024-10-26T00:00:00"/>
    <x v="4"/>
    <s v="Laura White"/>
    <n v="2115.1999999999998"/>
    <x v="8"/>
  </r>
  <r>
    <s v="TXN148"/>
    <s v="Desk Chair"/>
    <x v="0"/>
    <n v="17"/>
    <n v="128.36000000000001"/>
    <n v="2182.12"/>
    <d v="2024-10-11T00:00:00"/>
    <x v="2"/>
    <s v="Laura White"/>
    <n v="2182.12"/>
    <x v="8"/>
  </r>
  <r>
    <s v="TXN149"/>
    <s v="Printer"/>
    <x v="4"/>
    <n v="5"/>
    <n v="237.86"/>
    <n v="1189.3"/>
    <d v="2024-11-15T00:00:00"/>
    <x v="1"/>
    <s v="Dawn Padilla"/>
    <n v="1189.3"/>
    <x v="5"/>
  </r>
  <r>
    <s v="TXN150"/>
    <s v="Annual Software License"/>
    <x v="2"/>
    <n v="1"/>
    <n v="8719.36"/>
    <n v="8719.36"/>
    <d v="2024-10-02T00:00:00"/>
    <x v="3"/>
    <s v="Amy Warner"/>
    <n v="8719.36"/>
    <x v="8"/>
  </r>
  <r>
    <s v="TXN151"/>
    <s v="Laptop Bag"/>
    <x v="5"/>
    <n v="10"/>
    <n v="32.96"/>
    <n v="329.6"/>
    <d v="2024-07-17T00:00:00"/>
    <x v="3"/>
    <s v="Aaron Hopkins"/>
    <n v="329.6"/>
    <x v="1"/>
  </r>
  <r>
    <s v="TXN152"/>
    <s v="Annual Software License"/>
    <x v="2"/>
    <n v="1"/>
    <n v="9331.61"/>
    <n v="9331.61"/>
    <d v="2024-08-01T00:00:00"/>
    <x v="2"/>
    <s v="Kayla Hanson"/>
    <n v="9331.61"/>
    <x v="7"/>
  </r>
  <r>
    <s v="TXN153"/>
    <s v="Laptop"/>
    <x v="4"/>
    <n v="2"/>
    <n v="917.39"/>
    <n v="1834.78"/>
    <d v="2024-08-14T00:00:00"/>
    <x v="1"/>
    <s v="Jessica Hodges"/>
    <n v="1834.78"/>
    <x v="7"/>
  </r>
  <r>
    <s v="TXN154"/>
    <s v="Laptop Bag"/>
    <x v="5"/>
    <n v="15"/>
    <n v="21.46"/>
    <n v="321.89999999999998"/>
    <d v="2024-07-20T00:00:00"/>
    <x v="1"/>
    <s v="Melissa Mckee"/>
    <n v="321.89999999999998"/>
    <x v="1"/>
  </r>
  <r>
    <s v="TXN155"/>
    <s v="Laptop Bag"/>
    <x v="5"/>
    <n v="11"/>
    <n v="25.81"/>
    <n v="283.91000000000003"/>
    <d v="2024-03-13T00:00:00"/>
    <x v="0"/>
    <s v="Todd James"/>
    <n v="283.91000000000003"/>
    <x v="9"/>
  </r>
  <r>
    <s v="TXN156"/>
    <s v="Printer Ink"/>
    <x v="3"/>
    <n v="2"/>
    <n v="13.97"/>
    <n v="27.94"/>
    <d v="2024-05-29T00:00:00"/>
    <x v="2"/>
    <s v="Noah Long"/>
    <n v="27.94"/>
    <x v="10"/>
  </r>
  <r>
    <s v="TXN157"/>
    <s v="Annual Software License"/>
    <x v="2"/>
    <n v="1"/>
    <n v="9193.59"/>
    <n v="9193.59"/>
    <d v="2024-07-27T00:00:00"/>
    <x v="3"/>
    <s v="Walter Pena"/>
    <n v="9193.59"/>
    <x v="1"/>
  </r>
  <r>
    <s v="TXN158"/>
    <s v="Notepad"/>
    <x v="3"/>
    <n v="16"/>
    <n v="1.71"/>
    <n v="27.36"/>
    <d v="2024-03-06T00:00:00"/>
    <x v="1"/>
    <s v="Kelly Joseph"/>
    <n v="27.36"/>
    <x v="9"/>
  </r>
  <r>
    <s v="TXN159"/>
    <s v="Printer"/>
    <x v="4"/>
    <n v="3"/>
    <n v="291.77999999999997"/>
    <n v="875.34"/>
    <d v="2024-02-03T00:00:00"/>
    <x v="3"/>
    <s v="Dawn Padilla"/>
    <n v="875.34"/>
    <x v="4"/>
  </r>
  <r>
    <s v="TXN160"/>
    <s v="Desk Chair"/>
    <x v="0"/>
    <n v="18"/>
    <n v="121.29"/>
    <n v="2183.2199999999998"/>
    <d v="2024-04-23T00:00:00"/>
    <x v="3"/>
    <s v="Aaron Hopkins"/>
    <n v="2183.2199999999998"/>
    <x v="0"/>
  </r>
  <r>
    <s v="TXN161"/>
    <s v="Stapler"/>
    <x v="1"/>
    <n v="6"/>
    <n v="6.38"/>
    <n v="38.28"/>
    <d v="2024-04-05T00:00:00"/>
    <x v="3"/>
    <s v="Amy Warner"/>
    <n v="38.28"/>
    <x v="0"/>
  </r>
  <r>
    <s v="TXN162"/>
    <s v="Stapler"/>
    <x v="1"/>
    <n v="11"/>
    <n v="9.93"/>
    <n v="109.23"/>
    <d v="2024-06-13T00:00:00"/>
    <x v="4"/>
    <s v="Amy Warner"/>
    <n v="109.23"/>
    <x v="11"/>
  </r>
  <r>
    <s v="TXN163"/>
    <s v="Printer Ink"/>
    <x v="3"/>
    <n v="6"/>
    <n v="19.54"/>
    <n v="117.24"/>
    <d v="2024-11-07T00:00:00"/>
    <x v="3"/>
    <s v="Luis Holland"/>
    <n v="117.24"/>
    <x v="5"/>
  </r>
  <r>
    <s v="TXN164"/>
    <s v="Annual Software License"/>
    <x v="2"/>
    <n v="1"/>
    <n v="5335.46"/>
    <n v="5335.46"/>
    <d v="2024-05-29T00:00:00"/>
    <x v="3"/>
    <s v="Jessica Hodges"/>
    <n v="5335.46"/>
    <x v="10"/>
  </r>
  <r>
    <s v="TXN165"/>
    <s v="Printer"/>
    <x v="4"/>
    <n v="6"/>
    <n v="182.93"/>
    <n v="1097.58"/>
    <d v="2024-06-06T00:00:00"/>
    <x v="1"/>
    <s v="Todd James"/>
    <n v="1097.58"/>
    <x v="11"/>
  </r>
  <r>
    <s v="TXN166"/>
    <s v="Laptop"/>
    <x v="4"/>
    <n v="4"/>
    <n v="955.86"/>
    <n v="3823.44"/>
    <d v="2024-05-12T00:00:00"/>
    <x v="1"/>
    <s v="Barry Johnson"/>
    <n v="3823.44"/>
    <x v="10"/>
  </r>
  <r>
    <s v="TXN167"/>
    <s v="Laptop Bag"/>
    <x v="5"/>
    <n v="7"/>
    <n v="35.33"/>
    <n v="247.31"/>
    <d v="2024-08-08T00:00:00"/>
    <x v="1"/>
    <s v="Dawn Padilla"/>
    <n v="247.31"/>
    <x v="7"/>
  </r>
  <r>
    <s v="TXN168"/>
    <s v="Laptop Bag"/>
    <x v="5"/>
    <n v="7"/>
    <n v="42.79"/>
    <n v="299.52999999999997"/>
    <d v="2024-06-04T00:00:00"/>
    <x v="4"/>
    <s v="Dawn Padilla"/>
    <n v="299.52999999999997"/>
    <x v="11"/>
  </r>
  <r>
    <s v="TXN169"/>
    <s v="Monitor"/>
    <x v="4"/>
    <n v="9"/>
    <n v="285.63"/>
    <n v="2570.67"/>
    <d v="2024-11-27T00:00:00"/>
    <x v="0"/>
    <s v="Melissa Mckee"/>
    <n v="2570.67"/>
    <x v="5"/>
  </r>
  <r>
    <s v="TXN170"/>
    <s v="Laptop"/>
    <x v="4"/>
    <n v="6"/>
    <n v="941.67"/>
    <n v="5650.02"/>
    <d v="2024-03-28T00:00:00"/>
    <x v="1"/>
    <s v="Walter Pena"/>
    <n v="5650.02"/>
    <x v="9"/>
  </r>
  <r>
    <s v="TXN171"/>
    <s v="Desk Chair"/>
    <x v="0"/>
    <n v="3"/>
    <n v="117.51"/>
    <n v="352.53"/>
    <d v="2024-04-21T00:00:00"/>
    <x v="3"/>
    <s v="Dawn Padilla"/>
    <n v="352.53"/>
    <x v="0"/>
  </r>
  <r>
    <s v="TXN172"/>
    <s v="Desk Chair"/>
    <x v="0"/>
    <n v="6"/>
    <n v="168.75"/>
    <n v="1012.5"/>
    <d v="2024-07-20T00:00:00"/>
    <x v="4"/>
    <s v="Cynthia Jenkins"/>
    <n v="1012.5"/>
    <x v="1"/>
  </r>
  <r>
    <s v="TXN173"/>
    <s v="Desk Chair"/>
    <x v="0"/>
    <n v="14"/>
    <n v="128.44"/>
    <n v="1798.16"/>
    <d v="2024-06-07T00:00:00"/>
    <x v="2"/>
    <s v="Amy Warner"/>
    <n v="1798.16"/>
    <x v="11"/>
  </r>
  <r>
    <s v="TXN174"/>
    <s v="Laptop Bag"/>
    <x v="5"/>
    <n v="10"/>
    <n v="40.54"/>
    <n v="405.4"/>
    <d v="2024-09-27T00:00:00"/>
    <x v="3"/>
    <s v="Lisa Parks"/>
    <n v="405.4"/>
    <x v="2"/>
  </r>
  <r>
    <s v="TXN175"/>
    <s v="Annual Software License"/>
    <x v="2"/>
    <n v="1"/>
    <n v="9836.5300000000007"/>
    <n v="9836.5300000000007"/>
    <d v="2024-11-26T00:00:00"/>
    <x v="0"/>
    <s v="Amy Warner"/>
    <n v="9836.5300000000007"/>
    <x v="5"/>
  </r>
  <r>
    <s v="TXN176"/>
    <s v="Monitor"/>
    <x v="4"/>
    <n v="12"/>
    <n v="333.18"/>
    <n v="3998.16"/>
    <d v="2024-12-23T00:00:00"/>
    <x v="0"/>
    <s v="Nicole Clay"/>
    <n v="3998.16"/>
    <x v="6"/>
  </r>
  <r>
    <s v="TXN177"/>
    <s v="Notepad"/>
    <x v="3"/>
    <n v="17"/>
    <n v="1.86"/>
    <n v="31.62"/>
    <d v="2024-11-10T00:00:00"/>
    <x v="1"/>
    <s v="Laura White"/>
    <n v="31.62"/>
    <x v="5"/>
  </r>
  <r>
    <s v="TXN178"/>
    <s v="Stapler"/>
    <x v="1"/>
    <n v="15"/>
    <n v="6.83"/>
    <n v="102.45"/>
    <d v="2024-03-11T00:00:00"/>
    <x v="4"/>
    <s v="Lisa Parks"/>
    <n v="102.45"/>
    <x v="9"/>
  </r>
  <r>
    <s v="TXN179"/>
    <s v="Whiteboard"/>
    <x v="0"/>
    <n v="4"/>
    <n v="132.46"/>
    <n v="529.84"/>
    <d v="2024-12-13T00:00:00"/>
    <x v="1"/>
    <s v="Stephanie Bennett"/>
    <n v="529.84"/>
    <x v="6"/>
  </r>
  <r>
    <s v="TXN180"/>
    <s v="Laptop"/>
    <x v="4"/>
    <n v="8"/>
    <n v="851.63"/>
    <n v="6813.04"/>
    <d v="2024-07-23T00:00:00"/>
    <x v="0"/>
    <s v="Dawn Padilla"/>
    <n v="6813.04"/>
    <x v="1"/>
  </r>
  <r>
    <s v="TXN181"/>
    <s v="Laptop"/>
    <x v="4"/>
    <n v="8"/>
    <n v="840.47"/>
    <n v="6723.76"/>
    <d v="2024-11-26T00:00:00"/>
    <x v="3"/>
    <s v="Jasmine Mcgee"/>
    <n v="6723.76"/>
    <x v="5"/>
  </r>
  <r>
    <s v="TXN182"/>
    <s v="Notepad"/>
    <x v="3"/>
    <n v="11"/>
    <n v="2.1"/>
    <n v="23.1"/>
    <d v="2024-07-15T00:00:00"/>
    <x v="2"/>
    <s v="Laura White"/>
    <n v="23.1"/>
    <x v="1"/>
  </r>
  <r>
    <s v="TXN183"/>
    <s v="Desk Chair"/>
    <x v="0"/>
    <n v="20"/>
    <n v="187.22"/>
    <n v="3744.4"/>
    <d v="2024-09-02T00:00:00"/>
    <x v="2"/>
    <s v="Amy Warner"/>
    <n v="3744.4"/>
    <x v="2"/>
  </r>
  <r>
    <s v="TXN184"/>
    <s v="Annual Software License"/>
    <x v="2"/>
    <n v="1"/>
    <n v="9909.24"/>
    <n v="9909.24"/>
    <d v="2024-06-20T00:00:00"/>
    <x v="3"/>
    <s v="Melissa Mckee"/>
    <n v="9909.24"/>
    <x v="11"/>
  </r>
  <r>
    <s v="TXN185"/>
    <s v="Whiteboard"/>
    <x v="0"/>
    <n v="6"/>
    <n v="163.03"/>
    <n v="978.18"/>
    <d v="2024-06-11T00:00:00"/>
    <x v="2"/>
    <s v="Rebecca Bell"/>
    <n v="978.18"/>
    <x v="11"/>
  </r>
  <r>
    <s v="TXN186"/>
    <s v="Notepad"/>
    <x v="3"/>
    <n v="13"/>
    <n v="2.5299999999999998"/>
    <n v="32.89"/>
    <d v="2024-09-29T00:00:00"/>
    <x v="2"/>
    <s v="Jessica Hodges"/>
    <n v="32.89"/>
    <x v="2"/>
  </r>
  <r>
    <s v="TXN187"/>
    <s v="Monitor"/>
    <x v="4"/>
    <n v="11"/>
    <n v="346.16"/>
    <n v="3807.76"/>
    <d v="2024-03-02T00:00:00"/>
    <x v="1"/>
    <s v="Amy Warner"/>
    <n v="3807.76"/>
    <x v="9"/>
  </r>
  <r>
    <s v="TXN188"/>
    <s v="Whiteboard"/>
    <x v="0"/>
    <n v="18"/>
    <n v="165.31"/>
    <n v="2975.58"/>
    <d v="2024-04-26T00:00:00"/>
    <x v="3"/>
    <s v="Walter Pena"/>
    <n v="2975.58"/>
    <x v="0"/>
  </r>
  <r>
    <s v="TXN189"/>
    <s v="Monitor"/>
    <x v="4"/>
    <n v="18"/>
    <n v="331.2"/>
    <n v="5961.6"/>
    <d v="2024-03-24T00:00:00"/>
    <x v="4"/>
    <s v="Lisa Parks"/>
    <n v="5961.6"/>
    <x v="9"/>
  </r>
  <r>
    <s v="TXN190"/>
    <s v="Notepad"/>
    <x v="3"/>
    <n v="2"/>
    <n v="1.89"/>
    <n v="3.78"/>
    <d v="2024-01-20T00:00:00"/>
    <x v="2"/>
    <s v="Lisa Parks"/>
    <n v="3.78"/>
    <x v="3"/>
  </r>
  <r>
    <s v="TXN191"/>
    <s v="Whiteboard"/>
    <x v="0"/>
    <n v="17"/>
    <n v="153.80000000000001"/>
    <n v="2614.6"/>
    <d v="2024-05-19T00:00:00"/>
    <x v="3"/>
    <s v="Luis Holland"/>
    <n v="2614.6"/>
    <x v="10"/>
  </r>
  <r>
    <s v="TXN192"/>
    <s v="Notepad"/>
    <x v="3"/>
    <n v="13"/>
    <n v="1.06"/>
    <n v="13.78"/>
    <d v="2024-07-29T00:00:00"/>
    <x v="1"/>
    <s v="Dawn Padilla"/>
    <n v="13.78"/>
    <x v="1"/>
  </r>
  <r>
    <s v="TXN193"/>
    <s v="Laptop Bag"/>
    <x v="5"/>
    <n v="6"/>
    <n v="33.32"/>
    <n v="199.92"/>
    <d v="2024-02-05T00:00:00"/>
    <x v="4"/>
    <s v="Todd James"/>
    <n v="199.92"/>
    <x v="4"/>
  </r>
  <r>
    <s v="TXN194"/>
    <s v="Monitor"/>
    <x v="4"/>
    <n v="13"/>
    <n v="307.02"/>
    <n v="3991.26"/>
    <d v="2024-03-11T00:00:00"/>
    <x v="4"/>
    <s v="Todd James"/>
    <n v="3991.26"/>
    <x v="9"/>
  </r>
  <r>
    <s v="TXN195"/>
    <s v="Annual Software License"/>
    <x v="2"/>
    <n v="1"/>
    <n v="8614"/>
    <n v="8614"/>
    <d v="2024-12-03T00:00:00"/>
    <x v="3"/>
    <s v="Kayla Hanson"/>
    <n v="8614"/>
    <x v="6"/>
  </r>
  <r>
    <s v="TXN196"/>
    <s v="Whiteboard"/>
    <x v="0"/>
    <n v="7"/>
    <n v="187.64"/>
    <n v="1313.48"/>
    <d v="2024-02-20T00:00:00"/>
    <x v="1"/>
    <s v="Jasmine Mcgee"/>
    <n v="1313.48"/>
    <x v="4"/>
  </r>
  <r>
    <s v="TXN197"/>
    <s v="Stapler"/>
    <x v="1"/>
    <n v="18"/>
    <n v="5.85"/>
    <n v="105.3"/>
    <d v="2024-08-06T00:00:00"/>
    <x v="2"/>
    <s v="Rebecca Bell"/>
    <n v="105.3"/>
    <x v="7"/>
  </r>
  <r>
    <s v="TXN198"/>
    <s v="Notepad"/>
    <x v="3"/>
    <n v="9"/>
    <n v="2.84"/>
    <n v="25.56"/>
    <d v="2024-03-07T00:00:00"/>
    <x v="4"/>
    <s v="Nicole Clay"/>
    <n v="25.56"/>
    <x v="9"/>
  </r>
  <r>
    <s v="TXN199"/>
    <s v="Whiteboard"/>
    <x v="0"/>
    <n v="19"/>
    <n v="198.95"/>
    <n v="3780.05"/>
    <d v="2024-12-02T00:00:00"/>
    <x v="4"/>
    <s v="Stephanie Bennett"/>
    <n v="3780.05"/>
    <x v="6"/>
  </r>
  <r>
    <s v="TXN200"/>
    <s v="Printer"/>
    <x v="4"/>
    <n v="20"/>
    <n v="220.48"/>
    <n v="4409.6000000000004"/>
    <d v="2024-05-07T00:00:00"/>
    <x v="0"/>
    <s v="Dawn Padilla"/>
    <n v="4409.6000000000004"/>
    <x v="10"/>
  </r>
  <r>
    <s v="TXN201"/>
    <s v="Stapler"/>
    <x v="1"/>
    <n v="11"/>
    <n v="9.9"/>
    <n v="108.9"/>
    <d v="2024-04-16T00:00:00"/>
    <x v="3"/>
    <s v="Luis Holland"/>
    <n v="108.9"/>
    <x v="0"/>
  </r>
  <r>
    <s v="TXN202"/>
    <s v="Printer Ink"/>
    <x v="3"/>
    <n v="20"/>
    <n v="10.210000000000001"/>
    <n v="204.2"/>
    <d v="2024-04-27T00:00:00"/>
    <x v="2"/>
    <s v="Laura White"/>
    <n v="204.2"/>
    <x v="0"/>
  </r>
  <r>
    <s v="TXN203"/>
    <s v="Stapler"/>
    <x v="1"/>
    <n v="15"/>
    <n v="8.99"/>
    <n v="134.85"/>
    <d v="2024-02-28T00:00:00"/>
    <x v="3"/>
    <s v="Aaron Hopkins"/>
    <n v="134.85"/>
    <x v="4"/>
  </r>
  <r>
    <s v="TXN204"/>
    <s v="Notepad"/>
    <x v="3"/>
    <n v="9"/>
    <n v="2.2000000000000002"/>
    <n v="19.8"/>
    <d v="2024-11-10T00:00:00"/>
    <x v="2"/>
    <s v="Kayla Hanson"/>
    <n v="19.8"/>
    <x v="5"/>
  </r>
  <r>
    <s v="TXN205"/>
    <s v="Stapler"/>
    <x v="1"/>
    <n v="17"/>
    <n v="12.61"/>
    <n v="214.37"/>
    <d v="2024-06-11T00:00:00"/>
    <x v="4"/>
    <s v="Melissa Mckee"/>
    <n v="214.37"/>
    <x v="11"/>
  </r>
  <r>
    <s v="TXN206"/>
    <s v="Whiteboard"/>
    <x v="0"/>
    <n v="5"/>
    <n v="159.04"/>
    <n v="795.2"/>
    <d v="2024-04-22T00:00:00"/>
    <x v="3"/>
    <s v="Jasmine Mcgee"/>
    <n v="795.2"/>
    <x v="0"/>
  </r>
  <r>
    <s v="TXN207"/>
    <s v="Notepad"/>
    <x v="3"/>
    <n v="1"/>
    <n v="2.25"/>
    <n v="2.25"/>
    <d v="2024-04-02T00:00:00"/>
    <x v="3"/>
    <s v="Aaron Hopkins"/>
    <n v="2.25"/>
    <x v="0"/>
  </r>
  <r>
    <s v="TXN208"/>
    <s v="Stapler"/>
    <x v="1"/>
    <n v="10"/>
    <n v="6.92"/>
    <n v="69.2"/>
    <d v="2024-04-21T00:00:00"/>
    <x v="3"/>
    <s v="Nicole Clay"/>
    <n v="69.2"/>
    <x v="0"/>
  </r>
  <r>
    <s v="TXN209"/>
    <s v="Whiteboard"/>
    <x v="0"/>
    <n v="2"/>
    <n v="189.27"/>
    <n v="378.54"/>
    <d v="2024-06-29T00:00:00"/>
    <x v="3"/>
    <s v="Luis Holland"/>
    <n v="378.54"/>
    <x v="11"/>
  </r>
  <r>
    <s v="TXN210"/>
    <s v="Laptop"/>
    <x v="4"/>
    <n v="14"/>
    <n v="838.27"/>
    <n v="11735.78"/>
    <d v="2024-01-05T00:00:00"/>
    <x v="1"/>
    <s v="Cynthia Jenkins"/>
    <n v="11735.78"/>
    <x v="3"/>
  </r>
  <r>
    <s v="TXN211"/>
    <s v="Stapler"/>
    <x v="1"/>
    <n v="16"/>
    <n v="11.36"/>
    <n v="181.76"/>
    <d v="2024-03-21T00:00:00"/>
    <x v="1"/>
    <s v="Walter Pena"/>
    <n v="181.76"/>
    <x v="9"/>
  </r>
  <r>
    <s v="TXN212"/>
    <s v="Stapler"/>
    <x v="1"/>
    <n v="7"/>
    <n v="8.9"/>
    <n v="62.3"/>
    <d v="2024-10-06T00:00:00"/>
    <x v="3"/>
    <s v="Walter Pena"/>
    <n v="62.3"/>
    <x v="8"/>
  </r>
  <r>
    <s v="TXN213"/>
    <s v="Whiteboard"/>
    <x v="0"/>
    <n v="19"/>
    <n v="109.37"/>
    <n v="2078.0300000000002"/>
    <d v="2024-03-06T00:00:00"/>
    <x v="4"/>
    <s v="Jessica Hodges"/>
    <n v="2078.0300000000002"/>
    <x v="9"/>
  </r>
  <r>
    <s v="TXN214"/>
    <s v="Desk Chair"/>
    <x v="0"/>
    <n v="8"/>
    <n v="181.38"/>
    <n v="1451.04"/>
    <d v="2024-03-02T00:00:00"/>
    <x v="2"/>
    <s v="Laura White"/>
    <n v="1451.04"/>
    <x v="9"/>
  </r>
  <r>
    <s v="TXN215"/>
    <s v="Notepad"/>
    <x v="3"/>
    <n v="17"/>
    <n v="1.34"/>
    <n v="22.78"/>
    <d v="2024-05-20T00:00:00"/>
    <x v="3"/>
    <s v="Laura White"/>
    <n v="22.78"/>
    <x v="10"/>
  </r>
  <r>
    <s v="TXN216"/>
    <s v="Desk Chair"/>
    <x v="0"/>
    <n v="7"/>
    <n v="164.7"/>
    <n v="1152.9000000000001"/>
    <d v="2024-02-21T00:00:00"/>
    <x v="4"/>
    <s v="Kayla Hanson"/>
    <n v="1152.9000000000001"/>
    <x v="4"/>
  </r>
  <r>
    <s v="TXN217"/>
    <s v="Notepad"/>
    <x v="3"/>
    <n v="13"/>
    <n v="2.23"/>
    <n v="28.99"/>
    <d v="2024-03-25T00:00:00"/>
    <x v="3"/>
    <s v="Lisa Parks"/>
    <n v="28.99"/>
    <x v="9"/>
  </r>
  <r>
    <s v="TXN218"/>
    <s v="Notepad"/>
    <x v="3"/>
    <n v="2"/>
    <n v="1.76"/>
    <n v="3.52"/>
    <d v="2024-02-22T00:00:00"/>
    <x v="4"/>
    <s v="Kelly Joseph"/>
    <n v="3.52"/>
    <x v="4"/>
  </r>
  <r>
    <s v="TXN219"/>
    <s v="Stapler"/>
    <x v="1"/>
    <n v="14"/>
    <n v="8.34"/>
    <n v="116.76"/>
    <d v="2024-11-26T00:00:00"/>
    <x v="2"/>
    <s v="Nicole Clay"/>
    <n v="116.76"/>
    <x v="5"/>
  </r>
  <r>
    <s v="TXN220"/>
    <s v="Monitor"/>
    <x v="4"/>
    <n v="10"/>
    <n v="267.91000000000003"/>
    <n v="2679.1"/>
    <d v="2024-07-10T00:00:00"/>
    <x v="0"/>
    <s v="Melissa Mckee"/>
    <n v="2679.1"/>
    <x v="1"/>
  </r>
  <r>
    <s v="TXN221"/>
    <s v="Laptop"/>
    <x v="4"/>
    <n v="11"/>
    <n v="808.22"/>
    <n v="8890.42"/>
    <d v="2024-09-02T00:00:00"/>
    <x v="0"/>
    <s v="Rebecca Bell"/>
    <n v="8890.42"/>
    <x v="2"/>
  </r>
  <r>
    <s v="TXN222"/>
    <s v="Printer"/>
    <x v="4"/>
    <n v="2"/>
    <n v="270.8"/>
    <n v="541.6"/>
    <d v="2024-10-18T00:00:00"/>
    <x v="1"/>
    <s v="Stephanie Bennett"/>
    <n v="541.6"/>
    <x v="8"/>
  </r>
  <r>
    <s v="TXN223"/>
    <s v="Annual Software License"/>
    <x v="2"/>
    <n v="1"/>
    <n v="8876.25"/>
    <n v="8876.25"/>
    <d v="2024-11-04T00:00:00"/>
    <x v="3"/>
    <s v="Todd James"/>
    <n v="8876.25"/>
    <x v="5"/>
  </r>
  <r>
    <s v="TXN224"/>
    <s v="Printer Ink"/>
    <x v="3"/>
    <n v="14"/>
    <n v="15.95"/>
    <n v="223.3"/>
    <d v="2024-08-12T00:00:00"/>
    <x v="0"/>
    <s v="Jasmine Mcgee"/>
    <n v="223.3"/>
    <x v="7"/>
  </r>
  <r>
    <s v="TXN225"/>
    <s v="Stapler"/>
    <x v="1"/>
    <n v="17"/>
    <n v="12.26"/>
    <n v="208.42"/>
    <d v="2024-03-24T00:00:00"/>
    <x v="1"/>
    <s v="Lisa Parks"/>
    <n v="208.42"/>
    <x v="9"/>
  </r>
  <r>
    <s v="TXN226"/>
    <s v="Laptop"/>
    <x v="4"/>
    <n v="4"/>
    <n v="920.27"/>
    <n v="3681.08"/>
    <d v="2024-12-04T00:00:00"/>
    <x v="3"/>
    <s v="Stephanie Bennett"/>
    <n v="3681.08"/>
    <x v="6"/>
  </r>
  <r>
    <s v="TXN227"/>
    <s v="Laptop Bag"/>
    <x v="5"/>
    <n v="20"/>
    <n v="33.380000000000003"/>
    <n v="667.6"/>
    <d v="2024-09-18T00:00:00"/>
    <x v="0"/>
    <s v="Todd James"/>
    <n v="667.6"/>
    <x v="2"/>
  </r>
  <r>
    <s v="TXN228"/>
    <s v="Desk Chair"/>
    <x v="0"/>
    <n v="19"/>
    <n v="120.67"/>
    <n v="2292.73"/>
    <d v="2024-01-25T00:00:00"/>
    <x v="1"/>
    <s v="Amy Warner"/>
    <n v="2292.73"/>
    <x v="3"/>
  </r>
  <r>
    <s v="TXN229"/>
    <s v="Desk Chair"/>
    <x v="0"/>
    <n v="10"/>
    <n v="155.66"/>
    <n v="1556.6"/>
    <d v="2024-10-15T00:00:00"/>
    <x v="2"/>
    <s v="Rebecca Bell"/>
    <n v="1556.6"/>
    <x v="8"/>
  </r>
  <r>
    <s v="TXN230"/>
    <s v="Printer"/>
    <x v="4"/>
    <n v="4"/>
    <n v="175.06"/>
    <n v="700.24"/>
    <d v="2024-10-14T00:00:00"/>
    <x v="0"/>
    <s v="Lisa Parks"/>
    <n v="700.24"/>
    <x v="8"/>
  </r>
  <r>
    <s v="TXN231"/>
    <s v="Printer Ink"/>
    <x v="3"/>
    <n v="11"/>
    <n v="16.66"/>
    <n v="183.26"/>
    <d v="2024-04-13T00:00:00"/>
    <x v="0"/>
    <s v="Kelly Joseph"/>
    <n v="183.26"/>
    <x v="0"/>
  </r>
  <r>
    <s v="TXN232"/>
    <s v="Monitor"/>
    <x v="4"/>
    <n v="15"/>
    <n v="381.95"/>
    <n v="5729.25"/>
    <d v="2024-05-11T00:00:00"/>
    <x v="3"/>
    <s v="Jasmine Mcgee"/>
    <n v="5729.25"/>
    <x v="10"/>
  </r>
  <r>
    <s v="TXN233"/>
    <s v="Stapler"/>
    <x v="1"/>
    <n v="15"/>
    <n v="9.75"/>
    <n v="146.25"/>
    <d v="2024-11-08T00:00:00"/>
    <x v="2"/>
    <s v="Walter Pena"/>
    <n v="146.25"/>
    <x v="5"/>
  </r>
  <r>
    <s v="TXN234"/>
    <s v="Stapler"/>
    <x v="1"/>
    <n v="12"/>
    <n v="8"/>
    <n v="96"/>
    <d v="2024-09-22T00:00:00"/>
    <x v="2"/>
    <s v="Lisa Parks"/>
    <n v="96"/>
    <x v="2"/>
  </r>
  <r>
    <s v="TXN235"/>
    <s v="Stapler"/>
    <x v="1"/>
    <n v="14"/>
    <n v="12.62"/>
    <n v="176.68"/>
    <d v="2024-02-29T00:00:00"/>
    <x v="2"/>
    <s v="Kayla Hanson"/>
    <n v="176.68"/>
    <x v="4"/>
  </r>
  <r>
    <s v="TXN236"/>
    <s v="Laptop Bag"/>
    <x v="5"/>
    <n v="1"/>
    <n v="20.72"/>
    <n v="20.72"/>
    <d v="2024-07-03T00:00:00"/>
    <x v="2"/>
    <s v="Jasmine Mcgee"/>
    <n v="20.72"/>
    <x v="1"/>
  </r>
  <r>
    <s v="TXN237"/>
    <s v="Whiteboard"/>
    <x v="0"/>
    <n v="8"/>
    <n v="164.12"/>
    <n v="1312.96"/>
    <d v="2024-02-21T00:00:00"/>
    <x v="1"/>
    <s v="Kevin Adams"/>
    <n v="1312.96"/>
    <x v="4"/>
  </r>
  <r>
    <s v="TXN238"/>
    <s v="Printer"/>
    <x v="4"/>
    <n v="9"/>
    <n v="254.32"/>
    <n v="2288.88"/>
    <d v="2024-08-26T00:00:00"/>
    <x v="0"/>
    <s v="Kayla Hanson"/>
    <n v="2288.88"/>
    <x v="7"/>
  </r>
  <r>
    <s v="TXN239"/>
    <s v="Monitor"/>
    <x v="4"/>
    <n v="20"/>
    <n v="271.02999999999997"/>
    <n v="5420.6"/>
    <d v="2024-09-09T00:00:00"/>
    <x v="2"/>
    <s v="Laura White"/>
    <n v="5420.6"/>
    <x v="2"/>
  </r>
  <r>
    <s v="TXN240"/>
    <s v="Printer Ink"/>
    <x v="3"/>
    <n v="11"/>
    <n v="15.66"/>
    <n v="172.26"/>
    <d v="2024-07-29T00:00:00"/>
    <x v="2"/>
    <s v="Amy Warner"/>
    <n v="172.26"/>
    <x v="1"/>
  </r>
  <r>
    <s v="TXN241"/>
    <s v="Notepad"/>
    <x v="3"/>
    <n v="15"/>
    <n v="2.16"/>
    <n v="32.4"/>
    <d v="2024-03-14T00:00:00"/>
    <x v="4"/>
    <s v="Jessica Hodges"/>
    <n v="32.4"/>
    <x v="9"/>
  </r>
  <r>
    <s v="TXN242"/>
    <s v="Laptop Bag"/>
    <x v="5"/>
    <n v="3"/>
    <n v="43.57"/>
    <n v="130.71"/>
    <d v="2024-11-14T00:00:00"/>
    <x v="0"/>
    <s v="Barry Johnson"/>
    <n v="130.71"/>
    <x v="5"/>
  </r>
  <r>
    <s v="TXN243"/>
    <s v="Desk Chair"/>
    <x v="0"/>
    <n v="9"/>
    <n v="170.05"/>
    <n v="1530.45"/>
    <d v="2024-03-17T00:00:00"/>
    <x v="0"/>
    <s v="Kayla Hanson"/>
    <n v="1530.45"/>
    <x v="9"/>
  </r>
  <r>
    <s v="TXN244"/>
    <s v="Notepad"/>
    <x v="3"/>
    <n v="1"/>
    <n v="1.57"/>
    <n v="1.57"/>
    <d v="2024-01-27T00:00:00"/>
    <x v="0"/>
    <s v="Cynthia Jenkins"/>
    <n v="1.57"/>
    <x v="3"/>
  </r>
  <r>
    <s v="TXN245"/>
    <s v="Laptop Bag"/>
    <x v="5"/>
    <n v="15"/>
    <n v="40.6"/>
    <n v="609"/>
    <d v="2024-09-02T00:00:00"/>
    <x v="2"/>
    <s v="Laura White"/>
    <n v="609"/>
    <x v="2"/>
  </r>
  <r>
    <s v="TXN246"/>
    <s v="Printer"/>
    <x v="4"/>
    <n v="14"/>
    <n v="272.22000000000003"/>
    <n v="3811.08"/>
    <d v="2024-04-19T00:00:00"/>
    <x v="2"/>
    <s v="Luis Holland"/>
    <n v="3811.08"/>
    <x v="0"/>
  </r>
  <r>
    <s v="TXN247"/>
    <s v="Printer Ink"/>
    <x v="3"/>
    <n v="14"/>
    <n v="14.19"/>
    <n v="198.66"/>
    <d v="2024-09-04T00:00:00"/>
    <x v="3"/>
    <s v="Kevin Adams"/>
    <n v="198.66"/>
    <x v="2"/>
  </r>
  <r>
    <s v="TXN248"/>
    <s v="Desk Chair"/>
    <x v="0"/>
    <n v="19"/>
    <n v="165.29"/>
    <n v="3140.51"/>
    <d v="2024-07-23T00:00:00"/>
    <x v="3"/>
    <s v="Kayla Hanson"/>
    <n v="3140.51"/>
    <x v="1"/>
  </r>
  <r>
    <s v="TXN249"/>
    <s v="Notepad"/>
    <x v="3"/>
    <n v="13"/>
    <n v="1.75"/>
    <n v="22.75"/>
    <d v="2024-05-28T00:00:00"/>
    <x v="3"/>
    <s v="Jessica Hodges"/>
    <n v="22.75"/>
    <x v="10"/>
  </r>
  <r>
    <s v="TXN250"/>
    <s v="Desk Chair"/>
    <x v="0"/>
    <n v="8"/>
    <n v="146.26"/>
    <n v="1170.08"/>
    <d v="2024-07-05T00:00:00"/>
    <x v="3"/>
    <s v="Nicole Clay"/>
    <n v="1170.08"/>
    <x v="1"/>
  </r>
  <r>
    <s v="TXN251"/>
    <s v="Stapler"/>
    <x v="1"/>
    <n v="19"/>
    <n v="6.33"/>
    <n v="120.27"/>
    <d v="2024-05-22T00:00:00"/>
    <x v="1"/>
    <s v="Walter Pena"/>
    <n v="120.27"/>
    <x v="10"/>
  </r>
  <r>
    <s v="TXN252"/>
    <s v="Laptop"/>
    <x v="4"/>
    <n v="11"/>
    <n v="960.7"/>
    <n v="10567.7"/>
    <d v="2024-10-22T00:00:00"/>
    <x v="0"/>
    <s v="Todd James"/>
    <n v="10567.7"/>
    <x v="8"/>
  </r>
  <r>
    <s v="TXN253"/>
    <s v="Annual Software License"/>
    <x v="2"/>
    <n v="1"/>
    <n v="5315.45"/>
    <n v="5315.45"/>
    <d v="2024-11-08T00:00:00"/>
    <x v="2"/>
    <s v="Melissa Mckee"/>
    <n v="5315.45"/>
    <x v="5"/>
  </r>
  <r>
    <s v="TXN254"/>
    <s v="Stapler"/>
    <x v="1"/>
    <n v="1"/>
    <n v="8.77"/>
    <n v="8.77"/>
    <d v="2024-04-20T00:00:00"/>
    <x v="0"/>
    <s v="Stephanie Bennett"/>
    <n v="8.77"/>
    <x v="0"/>
  </r>
  <r>
    <s v="TXN255"/>
    <s v="Whiteboard"/>
    <x v="0"/>
    <n v="17"/>
    <n v="152.66"/>
    <n v="2595.2199999999998"/>
    <d v="2024-12-08T00:00:00"/>
    <x v="3"/>
    <s v="Jessica Hodges"/>
    <n v="2595.2199999999998"/>
    <x v="6"/>
  </r>
  <r>
    <s v="TXN256"/>
    <s v="Monitor"/>
    <x v="4"/>
    <n v="1"/>
    <n v="233.93"/>
    <n v="233.93"/>
    <d v="2024-07-12T00:00:00"/>
    <x v="0"/>
    <s v="Laura White"/>
    <n v="233.93"/>
    <x v="1"/>
  </r>
  <r>
    <s v="TXN257"/>
    <s v="Desk Chair"/>
    <x v="0"/>
    <n v="2"/>
    <n v="198.18"/>
    <n v="396.36"/>
    <d v="2024-09-18T00:00:00"/>
    <x v="3"/>
    <s v="Melissa Mckee"/>
    <n v="396.36"/>
    <x v="2"/>
  </r>
  <r>
    <s v="TXN258"/>
    <s v="Stapler"/>
    <x v="1"/>
    <n v="1"/>
    <n v="14.02"/>
    <n v="14.02"/>
    <d v="2024-12-21T00:00:00"/>
    <x v="4"/>
    <s v="Cynthia Jenkins"/>
    <n v="14.02"/>
    <x v="6"/>
  </r>
  <r>
    <s v="TXN259"/>
    <s v="Desk Chair"/>
    <x v="0"/>
    <n v="17"/>
    <n v="155.57"/>
    <n v="2644.69"/>
    <d v="2024-12-10T00:00:00"/>
    <x v="3"/>
    <s v="Walter Pena"/>
    <n v="2644.69"/>
    <x v="6"/>
  </r>
  <r>
    <s v="TXN260"/>
    <s v="Laptop"/>
    <x v="4"/>
    <n v="11"/>
    <n v="971.94"/>
    <n v="10691.34"/>
    <d v="2024-11-23T00:00:00"/>
    <x v="4"/>
    <s v="Melissa Mckee"/>
    <n v="10691.34"/>
    <x v="5"/>
  </r>
  <r>
    <s v="TXN261"/>
    <s v="Laptop"/>
    <x v="4"/>
    <n v="9"/>
    <n v="908.32"/>
    <n v="8174.88"/>
    <d v="2024-08-25T00:00:00"/>
    <x v="4"/>
    <s v="Kelly Joseph"/>
    <n v="8174.88"/>
    <x v="7"/>
  </r>
  <r>
    <s v="TXN262"/>
    <s v="Whiteboard"/>
    <x v="0"/>
    <n v="14"/>
    <n v="113.58"/>
    <n v="1590.12"/>
    <d v="2024-06-08T00:00:00"/>
    <x v="0"/>
    <s v="Aaron Hopkins"/>
    <n v="1590.12"/>
    <x v="11"/>
  </r>
  <r>
    <s v="TXN263"/>
    <s v="Monitor"/>
    <x v="4"/>
    <n v="10"/>
    <n v="242.82"/>
    <n v="2428.1999999999998"/>
    <d v="2024-08-12T00:00:00"/>
    <x v="0"/>
    <s v="Barry Johnson"/>
    <n v="2428.1999999999998"/>
    <x v="7"/>
  </r>
  <r>
    <s v="TXN264"/>
    <s v="Whiteboard"/>
    <x v="0"/>
    <n v="12"/>
    <n v="177.73"/>
    <n v="2132.7600000000002"/>
    <d v="2024-04-04T00:00:00"/>
    <x v="3"/>
    <s v="Rebecca Bell"/>
    <n v="2132.7600000000002"/>
    <x v="0"/>
  </r>
  <r>
    <s v="TXN265"/>
    <s v="Laptop Bag"/>
    <x v="5"/>
    <n v="17"/>
    <n v="34.51"/>
    <n v="586.66999999999996"/>
    <d v="2024-01-01T00:00:00"/>
    <x v="1"/>
    <s v="Kayla Hanson"/>
    <n v="586.66999999999996"/>
    <x v="3"/>
  </r>
  <r>
    <s v="TXN266"/>
    <s v="Printer"/>
    <x v="4"/>
    <n v="4"/>
    <n v="277.36"/>
    <n v="1109.44"/>
    <d v="2024-08-06T00:00:00"/>
    <x v="3"/>
    <s v="Luis Holland"/>
    <n v="1109.44"/>
    <x v="7"/>
  </r>
  <r>
    <s v="TXN267"/>
    <s v="Laptop Bag"/>
    <x v="5"/>
    <n v="6"/>
    <n v="26.64"/>
    <n v="159.84"/>
    <d v="2024-10-27T00:00:00"/>
    <x v="4"/>
    <s v="Kelly Joseph"/>
    <n v="159.84"/>
    <x v="8"/>
  </r>
  <r>
    <s v="TXN268"/>
    <s v="Desk Chair"/>
    <x v="0"/>
    <n v="9"/>
    <n v="115.09"/>
    <n v="1035.81"/>
    <d v="2024-01-23T00:00:00"/>
    <x v="0"/>
    <s v="Stephanie Bennett"/>
    <n v="1035.81"/>
    <x v="3"/>
  </r>
  <r>
    <s v="TXN269"/>
    <s v="Laptop"/>
    <x v="4"/>
    <n v="2"/>
    <n v="859.47"/>
    <n v="1718.94"/>
    <d v="2024-05-01T00:00:00"/>
    <x v="4"/>
    <s v="Barry Johnson"/>
    <n v="1718.94"/>
    <x v="10"/>
  </r>
  <r>
    <s v="TXN270"/>
    <s v="Stapler"/>
    <x v="1"/>
    <n v="2"/>
    <n v="12.89"/>
    <n v="25.78"/>
    <d v="2024-04-30T00:00:00"/>
    <x v="4"/>
    <s v="Nicole Clay"/>
    <n v="25.78"/>
    <x v="0"/>
  </r>
  <r>
    <s v="TXN271"/>
    <s v="Whiteboard"/>
    <x v="0"/>
    <n v="8"/>
    <n v="195.03"/>
    <n v="1560.24"/>
    <d v="2024-02-10T00:00:00"/>
    <x v="0"/>
    <s v="Todd James"/>
    <n v="1560.24"/>
    <x v="4"/>
  </r>
  <r>
    <s v="TXN272"/>
    <s v="Monitor"/>
    <x v="4"/>
    <n v="4"/>
    <n v="254.89"/>
    <n v="1019.56"/>
    <d v="2024-04-21T00:00:00"/>
    <x v="0"/>
    <s v="Luis Holland"/>
    <n v="1019.56"/>
    <x v="0"/>
  </r>
  <r>
    <s v="TXN273"/>
    <s v="Laptop Bag"/>
    <x v="5"/>
    <n v="18"/>
    <n v="41.77"/>
    <n v="751.86"/>
    <d v="2024-10-31T00:00:00"/>
    <x v="3"/>
    <s v="Laura White"/>
    <n v="751.86"/>
    <x v="8"/>
  </r>
  <r>
    <s v="TXN274"/>
    <s v="Desk Chair"/>
    <x v="0"/>
    <n v="10"/>
    <n v="131.54"/>
    <n v="1315.4"/>
    <d v="2024-07-17T00:00:00"/>
    <x v="0"/>
    <s v="Laura White"/>
    <n v="1315.4"/>
    <x v="1"/>
  </r>
  <r>
    <s v="TXN275"/>
    <s v="Stapler"/>
    <x v="1"/>
    <n v="5"/>
    <n v="11.33"/>
    <n v="56.65"/>
    <d v="2024-05-14T00:00:00"/>
    <x v="4"/>
    <s v="Amy Warner"/>
    <n v="56.65"/>
    <x v="10"/>
  </r>
  <r>
    <s v="TXN276"/>
    <s v="Printer Ink"/>
    <x v="3"/>
    <n v="16"/>
    <n v="13.84"/>
    <n v="221.44"/>
    <d v="2024-01-05T00:00:00"/>
    <x v="2"/>
    <s v="Luis Holland"/>
    <n v="221.44"/>
    <x v="3"/>
  </r>
  <r>
    <s v="TXN277"/>
    <s v="Monitor"/>
    <x v="4"/>
    <n v="13"/>
    <n v="276.45999999999998"/>
    <n v="3593.98"/>
    <d v="2024-06-08T00:00:00"/>
    <x v="0"/>
    <s v="Amy Warner"/>
    <n v="3593.98"/>
    <x v="11"/>
  </r>
  <r>
    <s v="TXN278"/>
    <s v="Monitor"/>
    <x v="4"/>
    <n v="12"/>
    <n v="253.77"/>
    <n v="3045.24"/>
    <d v="2024-02-28T00:00:00"/>
    <x v="2"/>
    <s v="Barry Johnson"/>
    <n v="3045.24"/>
    <x v="4"/>
  </r>
  <r>
    <s v="TXN279"/>
    <s v="Printer Ink"/>
    <x v="3"/>
    <n v="3"/>
    <n v="14.61"/>
    <n v="43.83"/>
    <d v="2024-06-05T00:00:00"/>
    <x v="3"/>
    <s v="Kayla Hanson"/>
    <n v="43.83"/>
    <x v="11"/>
  </r>
  <r>
    <s v="TXN280"/>
    <s v="Laptop"/>
    <x v="4"/>
    <n v="13"/>
    <n v="872.33"/>
    <n v="11340.29"/>
    <d v="2024-10-19T00:00:00"/>
    <x v="1"/>
    <s v="Laura White"/>
    <n v="11340.29"/>
    <x v="8"/>
  </r>
  <r>
    <s v="TXN281"/>
    <s v="Annual Software License"/>
    <x v="2"/>
    <n v="1"/>
    <n v="9452.25"/>
    <n v="9452.25"/>
    <d v="2024-06-17T00:00:00"/>
    <x v="4"/>
    <s v="Dawn Padilla"/>
    <n v="9452.25"/>
    <x v="11"/>
  </r>
  <r>
    <s v="TXN282"/>
    <s v="Monitor"/>
    <x v="4"/>
    <n v="14"/>
    <n v="226.49"/>
    <n v="3170.86"/>
    <d v="2024-09-19T00:00:00"/>
    <x v="1"/>
    <s v="Walter Pena"/>
    <n v="3170.86"/>
    <x v="2"/>
  </r>
  <r>
    <s v="TXN283"/>
    <s v="Desk Chair"/>
    <x v="0"/>
    <n v="12"/>
    <n v="100.9"/>
    <n v="1210.8"/>
    <d v="2024-10-01T00:00:00"/>
    <x v="0"/>
    <s v="Aaron Hopkins"/>
    <n v="1210.8"/>
    <x v="8"/>
  </r>
  <r>
    <s v="TXN284"/>
    <s v="Notepad"/>
    <x v="3"/>
    <n v="14"/>
    <n v="2.0099999999999998"/>
    <n v="28.14"/>
    <d v="2024-02-22T00:00:00"/>
    <x v="0"/>
    <s v="Walter Pena"/>
    <n v="28.14"/>
    <x v="4"/>
  </r>
  <r>
    <s v="TXN285"/>
    <s v="Monitor"/>
    <x v="4"/>
    <n v="9"/>
    <n v="315.2"/>
    <n v="2836.8"/>
    <d v="2024-03-13T00:00:00"/>
    <x v="3"/>
    <s v="Barry Johnson"/>
    <n v="2836.8"/>
    <x v="9"/>
  </r>
  <r>
    <s v="TXN286"/>
    <s v="Annual Software License"/>
    <x v="2"/>
    <n v="1"/>
    <n v="6678.13"/>
    <n v="6678.13"/>
    <d v="2024-01-14T00:00:00"/>
    <x v="4"/>
    <s v="Aaron Hopkins"/>
    <n v="6678.13"/>
    <x v="3"/>
  </r>
  <r>
    <s v="TXN287"/>
    <s v="Desk Chair"/>
    <x v="0"/>
    <n v="11"/>
    <n v="177.57"/>
    <n v="1953.27"/>
    <d v="2024-04-18T00:00:00"/>
    <x v="3"/>
    <s v="Cynthia Jenkins"/>
    <n v="1953.27"/>
    <x v="0"/>
  </r>
  <r>
    <s v="TXN288"/>
    <s v="Stapler"/>
    <x v="1"/>
    <n v="3"/>
    <n v="13.69"/>
    <n v="41.07"/>
    <d v="2024-10-23T00:00:00"/>
    <x v="3"/>
    <s v="Aaron Hopkins"/>
    <n v="41.07"/>
    <x v="8"/>
  </r>
  <r>
    <s v="TXN289"/>
    <s v="Desk Chair"/>
    <x v="0"/>
    <n v="17"/>
    <n v="134.11000000000001"/>
    <n v="2279.87"/>
    <d v="2024-11-17T00:00:00"/>
    <x v="1"/>
    <s v="Stephanie Bennett"/>
    <n v="2279.87"/>
    <x v="5"/>
  </r>
  <r>
    <s v="TXN290"/>
    <s v="Laptop"/>
    <x v="4"/>
    <n v="12"/>
    <n v="861.92"/>
    <n v="10343.040000000001"/>
    <d v="2024-03-11T00:00:00"/>
    <x v="1"/>
    <s v="Barry Johnson"/>
    <n v="10343.040000000001"/>
    <x v="9"/>
  </r>
  <r>
    <s v="TXN291"/>
    <s v="Monitor"/>
    <x v="4"/>
    <n v="11"/>
    <n v="201.29"/>
    <n v="2214.19"/>
    <d v="2024-11-10T00:00:00"/>
    <x v="4"/>
    <s v="Barry Johnson"/>
    <n v="2214.19"/>
    <x v="5"/>
  </r>
  <r>
    <s v="TXN292"/>
    <s v="Laptop Bag"/>
    <x v="5"/>
    <n v="15"/>
    <n v="32.31"/>
    <n v="484.65"/>
    <d v="2024-06-05T00:00:00"/>
    <x v="3"/>
    <s v="Luis Holland"/>
    <n v="484.65"/>
    <x v="11"/>
  </r>
  <r>
    <s v="TXN293"/>
    <s v="Printer Ink"/>
    <x v="3"/>
    <n v="14"/>
    <n v="12.57"/>
    <n v="175.98"/>
    <d v="2024-08-13T00:00:00"/>
    <x v="2"/>
    <s v="Walter Pena"/>
    <n v="175.98"/>
    <x v="7"/>
  </r>
  <r>
    <s v="TXN294"/>
    <s v="Printer"/>
    <x v="4"/>
    <n v="12"/>
    <n v="192.13"/>
    <n v="2305.56"/>
    <d v="2024-01-15T00:00:00"/>
    <x v="3"/>
    <s v="Noah Long"/>
    <n v="2305.56"/>
    <x v="3"/>
  </r>
  <r>
    <s v="TXN295"/>
    <s v="Laptop Bag"/>
    <x v="5"/>
    <n v="15"/>
    <n v="22.7"/>
    <n v="340.5"/>
    <d v="2024-12-30T00:00:00"/>
    <x v="0"/>
    <s v="Laura White"/>
    <n v="340.5"/>
    <x v="6"/>
  </r>
  <r>
    <s v="TXN296"/>
    <s v="Whiteboard"/>
    <x v="0"/>
    <n v="5"/>
    <n v="109.14"/>
    <n v="545.70000000000005"/>
    <d v="2024-09-28T00:00:00"/>
    <x v="4"/>
    <s v="Laura White"/>
    <n v="545.70000000000005"/>
    <x v="2"/>
  </r>
  <r>
    <s v="TXN297"/>
    <s v="Annual Software License"/>
    <x v="2"/>
    <n v="1"/>
    <n v="9503.77"/>
    <n v="9503.77"/>
    <d v="2024-11-15T00:00:00"/>
    <x v="4"/>
    <s v="Lisa Parks"/>
    <n v="9503.77"/>
    <x v="5"/>
  </r>
  <r>
    <s v="TXN298"/>
    <s v="Annual Software License"/>
    <x v="2"/>
    <n v="1"/>
    <n v="5489.81"/>
    <n v="5489.81"/>
    <d v="2024-11-02T00:00:00"/>
    <x v="0"/>
    <s v="Todd James"/>
    <n v="5489.81"/>
    <x v="5"/>
  </r>
  <r>
    <s v="TXN299"/>
    <s v="Notepad"/>
    <x v="3"/>
    <n v="11"/>
    <n v="1.23"/>
    <n v="13.53"/>
    <d v="2024-07-25T00:00:00"/>
    <x v="4"/>
    <s v="Lisa Parks"/>
    <n v="13.53"/>
    <x v="1"/>
  </r>
  <r>
    <s v="TXN300"/>
    <s v="Laptop"/>
    <x v="4"/>
    <n v="1"/>
    <n v="871.95"/>
    <n v="871.95"/>
    <d v="2024-11-25T00:00:00"/>
    <x v="3"/>
    <s v="Kayla Hanson"/>
    <n v="871.95"/>
    <x v="5"/>
  </r>
  <r>
    <s v="TXN301"/>
    <s v="Printer"/>
    <x v="4"/>
    <n v="3"/>
    <n v="179.61"/>
    <n v="538.83000000000004"/>
    <d v="2024-11-25T00:00:00"/>
    <x v="1"/>
    <s v="Dawn Padilla"/>
    <n v="538.83000000000004"/>
    <x v="5"/>
  </r>
  <r>
    <s v="TXN302"/>
    <s v="Printer"/>
    <x v="4"/>
    <n v="13"/>
    <n v="234.5"/>
    <n v="3048.5"/>
    <d v="2024-05-04T00:00:00"/>
    <x v="1"/>
    <s v="Cynthia Jenkins"/>
    <n v="3048.5"/>
    <x v="10"/>
  </r>
  <r>
    <s v="TXN303"/>
    <s v="Laptop Bag"/>
    <x v="5"/>
    <n v="18"/>
    <n v="42.31"/>
    <n v="761.58"/>
    <d v="2024-08-14T00:00:00"/>
    <x v="0"/>
    <s v="Aaron Hopkins"/>
    <n v="761.58"/>
    <x v="7"/>
  </r>
  <r>
    <s v="TXN304"/>
    <s v="Monitor"/>
    <x v="4"/>
    <n v="11"/>
    <n v="278.12"/>
    <n v="3059.32"/>
    <d v="2024-12-30T00:00:00"/>
    <x v="1"/>
    <s v="Nicole Clay"/>
    <n v="3059.32"/>
    <x v="6"/>
  </r>
  <r>
    <s v="TXN305"/>
    <s v="Stapler"/>
    <x v="1"/>
    <n v="11"/>
    <n v="5.46"/>
    <n v="60.06"/>
    <d v="2024-05-15T00:00:00"/>
    <x v="0"/>
    <s v="Kevin Adams"/>
    <n v="60.06"/>
    <x v="10"/>
  </r>
  <r>
    <s v="TXN306"/>
    <s v="Monitor"/>
    <x v="4"/>
    <n v="11"/>
    <n v="333.61"/>
    <n v="3669.71"/>
    <d v="2024-01-02T00:00:00"/>
    <x v="2"/>
    <s v="Melissa Mckee"/>
    <n v="3669.71"/>
    <x v="3"/>
  </r>
  <r>
    <s v="TXN307"/>
    <s v="Annual Software License"/>
    <x v="2"/>
    <n v="1"/>
    <n v="5454.58"/>
    <n v="5454.58"/>
    <d v="2024-08-19T00:00:00"/>
    <x v="0"/>
    <s v="Kelly Joseph"/>
    <n v="5454.58"/>
    <x v="7"/>
  </r>
  <r>
    <s v="TXN308"/>
    <s v="Printer Ink"/>
    <x v="3"/>
    <n v="6"/>
    <n v="19.829999999999998"/>
    <n v="118.98"/>
    <d v="2024-04-08T00:00:00"/>
    <x v="2"/>
    <s v="Stephanie Bennett"/>
    <n v="118.98"/>
    <x v="0"/>
  </r>
  <r>
    <s v="TXN309"/>
    <s v="Monitor"/>
    <x v="4"/>
    <n v="18"/>
    <n v="246.14"/>
    <n v="4430.5200000000004"/>
    <d v="2024-01-14T00:00:00"/>
    <x v="1"/>
    <s v="Cynthia Jenkins"/>
    <n v="4430.5200000000004"/>
    <x v="3"/>
  </r>
  <r>
    <s v="TXN310"/>
    <s v="Laptop Bag"/>
    <x v="5"/>
    <n v="4"/>
    <n v="34.130000000000003"/>
    <n v="136.52000000000001"/>
    <d v="2024-01-15T00:00:00"/>
    <x v="1"/>
    <s v="Kelly Joseph"/>
    <n v="136.52000000000001"/>
    <x v="3"/>
  </r>
  <r>
    <s v="TXN311"/>
    <s v="Laptop Bag"/>
    <x v="5"/>
    <n v="15"/>
    <n v="21.14"/>
    <n v="317.10000000000002"/>
    <d v="2024-10-29T00:00:00"/>
    <x v="4"/>
    <s v="Jasmine Mcgee"/>
    <n v="317.10000000000002"/>
    <x v="8"/>
  </r>
  <r>
    <s v="TXN312"/>
    <s v="Printer"/>
    <x v="4"/>
    <n v="19"/>
    <n v="203.37"/>
    <n v="3864.03"/>
    <d v="2024-03-19T00:00:00"/>
    <x v="1"/>
    <s v="Noah Long"/>
    <n v="3864.03"/>
    <x v="9"/>
  </r>
  <r>
    <s v="TXN313"/>
    <s v="Whiteboard"/>
    <x v="0"/>
    <n v="14"/>
    <n v="199.35"/>
    <n v="2790.9"/>
    <d v="2024-04-02T00:00:00"/>
    <x v="4"/>
    <s v="Cynthia Jenkins"/>
    <n v="2790.9"/>
    <x v="0"/>
  </r>
  <r>
    <s v="TXN314"/>
    <s v="Annual Software License"/>
    <x v="2"/>
    <n v="1"/>
    <n v="7229.1"/>
    <n v="7229.1"/>
    <d v="2024-05-12T00:00:00"/>
    <x v="3"/>
    <s v="Rebecca Bell"/>
    <n v="7229.1"/>
    <x v="10"/>
  </r>
  <r>
    <s v="TXN315"/>
    <s v="Stapler"/>
    <x v="1"/>
    <n v="5"/>
    <n v="9.6199999999999992"/>
    <n v="48.1"/>
    <d v="2024-02-03T00:00:00"/>
    <x v="4"/>
    <s v="Walter Pena"/>
    <n v="48.1"/>
    <x v="4"/>
  </r>
  <r>
    <s v="TXN316"/>
    <s v="Laptop"/>
    <x v="4"/>
    <n v="1"/>
    <n v="896.36"/>
    <n v="896.36"/>
    <d v="2024-03-01T00:00:00"/>
    <x v="4"/>
    <s v="Stephanie Bennett"/>
    <n v="896.36"/>
    <x v="9"/>
  </r>
  <r>
    <s v="TXN317"/>
    <s v="Notepad"/>
    <x v="3"/>
    <n v="18"/>
    <n v="1.77"/>
    <n v="31.86"/>
    <d v="2024-04-14T00:00:00"/>
    <x v="3"/>
    <s v="Luis Holland"/>
    <n v="31.86"/>
    <x v="0"/>
  </r>
  <r>
    <s v="TXN318"/>
    <s v="Desk Chair"/>
    <x v="0"/>
    <n v="19"/>
    <n v="153.61000000000001"/>
    <n v="2918.59"/>
    <d v="2024-06-08T00:00:00"/>
    <x v="2"/>
    <s v="Lisa Parks"/>
    <n v="2918.59"/>
    <x v="11"/>
  </r>
  <r>
    <s v="TXN319"/>
    <s v="Whiteboard"/>
    <x v="0"/>
    <n v="10"/>
    <n v="108.63"/>
    <n v="1086.3"/>
    <d v="2024-03-22T00:00:00"/>
    <x v="3"/>
    <s v="Walter Pena"/>
    <n v="1086.3"/>
    <x v="9"/>
  </r>
  <r>
    <s v="TXN320"/>
    <s v="Printer Ink"/>
    <x v="3"/>
    <n v="2"/>
    <n v="19.46"/>
    <n v="38.92"/>
    <d v="2024-08-16T00:00:00"/>
    <x v="1"/>
    <s v="Jessica Hodges"/>
    <n v="38.92"/>
    <x v="7"/>
  </r>
  <r>
    <s v="TXN321"/>
    <s v="Laptop"/>
    <x v="4"/>
    <n v="18"/>
    <n v="876.19"/>
    <n v="15771.42"/>
    <d v="2024-07-10T00:00:00"/>
    <x v="0"/>
    <s v="Jessica Hodges"/>
    <n v="15771.42"/>
    <x v="1"/>
  </r>
  <r>
    <s v="TXN322"/>
    <s v="Printer"/>
    <x v="4"/>
    <n v="11"/>
    <n v="162.18"/>
    <n v="1783.98"/>
    <d v="2024-10-10T00:00:00"/>
    <x v="3"/>
    <s v="Melissa Mckee"/>
    <n v="1783.98"/>
    <x v="8"/>
  </r>
  <r>
    <s v="TXN323"/>
    <s v="Notepad"/>
    <x v="3"/>
    <n v="1"/>
    <n v="1.56"/>
    <n v="1.56"/>
    <d v="2024-08-29T00:00:00"/>
    <x v="0"/>
    <s v="Lisa Parks"/>
    <n v="1.56"/>
    <x v="7"/>
  </r>
  <r>
    <s v="TXN324"/>
    <s v="Notepad"/>
    <x v="3"/>
    <n v="3"/>
    <n v="1.06"/>
    <n v="3.18"/>
    <d v="2024-07-14T00:00:00"/>
    <x v="3"/>
    <s v="Dawn Padilla"/>
    <n v="3.18"/>
    <x v="1"/>
  </r>
  <r>
    <s v="TXN325"/>
    <s v="Annual Software License"/>
    <x v="2"/>
    <n v="1"/>
    <n v="8937.02"/>
    <n v="8937.02"/>
    <d v="2024-02-13T00:00:00"/>
    <x v="4"/>
    <s v="Jessica Hodges"/>
    <n v="8937.02"/>
    <x v="4"/>
  </r>
  <r>
    <s v="TXN326"/>
    <s v="Notepad"/>
    <x v="3"/>
    <n v="17"/>
    <n v="1.97"/>
    <n v="33.49"/>
    <d v="2024-03-19T00:00:00"/>
    <x v="4"/>
    <s v="Lisa Parks"/>
    <n v="33.49"/>
    <x v="9"/>
  </r>
  <r>
    <s v="TXN327"/>
    <s v="Desk Chair"/>
    <x v="0"/>
    <n v="17"/>
    <n v="149.52000000000001"/>
    <n v="2541.84"/>
    <d v="2024-12-25T00:00:00"/>
    <x v="0"/>
    <s v="Walter Pena"/>
    <n v="2541.84"/>
    <x v="6"/>
  </r>
  <r>
    <s v="TXN328"/>
    <s v="Printer"/>
    <x v="4"/>
    <n v="11"/>
    <n v="150.83000000000001"/>
    <n v="1659.13"/>
    <d v="2024-07-02T00:00:00"/>
    <x v="2"/>
    <s v="Barry Johnson"/>
    <n v="1659.13"/>
    <x v="1"/>
  </r>
  <r>
    <s v="TXN329"/>
    <s v="Laptop Bag"/>
    <x v="5"/>
    <n v="19"/>
    <n v="25.41"/>
    <n v="482.79"/>
    <d v="2024-03-11T00:00:00"/>
    <x v="2"/>
    <s v="Walter Pena"/>
    <n v="482.79"/>
    <x v="9"/>
  </r>
  <r>
    <s v="TXN330"/>
    <s v="Annual Software License"/>
    <x v="2"/>
    <n v="1"/>
    <n v="7000.06"/>
    <n v="7000.06"/>
    <d v="2024-01-05T00:00:00"/>
    <x v="1"/>
    <s v="Cynthia Jenkins"/>
    <n v="7000.06"/>
    <x v="3"/>
  </r>
  <r>
    <s v="TXN331"/>
    <s v="Printer Ink"/>
    <x v="3"/>
    <n v="9"/>
    <n v="19.27"/>
    <n v="173.43"/>
    <d v="2024-08-26T00:00:00"/>
    <x v="3"/>
    <s v="Kevin Adams"/>
    <n v="173.43"/>
    <x v="7"/>
  </r>
  <r>
    <s v="TXN332"/>
    <s v="Laptop Bag"/>
    <x v="5"/>
    <n v="2"/>
    <n v="41.62"/>
    <n v="83.24"/>
    <d v="2024-12-01T00:00:00"/>
    <x v="4"/>
    <s v="Amy Warner"/>
    <n v="83.24"/>
    <x v="6"/>
  </r>
  <r>
    <s v="TXN333"/>
    <s v="Laptop"/>
    <x v="4"/>
    <n v="3"/>
    <n v="966.1"/>
    <n v="2898.3"/>
    <d v="2024-09-15T00:00:00"/>
    <x v="1"/>
    <s v="Jessica Hodges"/>
    <n v="2898.3"/>
    <x v="2"/>
  </r>
  <r>
    <s v="TXN334"/>
    <s v="Desk Chair"/>
    <x v="0"/>
    <n v="16"/>
    <n v="127.25"/>
    <n v="2036"/>
    <d v="2024-09-15T00:00:00"/>
    <x v="1"/>
    <s v="Laura White"/>
    <n v="2036"/>
    <x v="2"/>
  </r>
  <r>
    <s v="TXN335"/>
    <s v="Laptop"/>
    <x v="4"/>
    <n v="16"/>
    <n v="960.28"/>
    <n v="15364.48"/>
    <d v="2024-09-08T00:00:00"/>
    <x v="3"/>
    <s v="Kayla Hanson"/>
    <n v="15364.48"/>
    <x v="2"/>
  </r>
  <r>
    <s v="TXN336"/>
    <s v="Printer"/>
    <x v="4"/>
    <n v="1"/>
    <n v="265.47000000000003"/>
    <n v="265.47000000000003"/>
    <d v="2024-12-17T00:00:00"/>
    <x v="1"/>
    <s v="Todd James"/>
    <n v="265.47000000000003"/>
    <x v="6"/>
  </r>
  <r>
    <s v="TXN337"/>
    <s v="Stapler"/>
    <x v="1"/>
    <n v="5"/>
    <n v="9.52"/>
    <n v="47.6"/>
    <d v="2024-02-08T00:00:00"/>
    <x v="1"/>
    <s v="Jessica Hodges"/>
    <n v="47.6"/>
    <x v="4"/>
  </r>
  <r>
    <s v="TXN338"/>
    <s v="Monitor"/>
    <x v="4"/>
    <n v="2"/>
    <n v="301.04000000000002"/>
    <n v="602.08000000000004"/>
    <d v="2024-01-16T00:00:00"/>
    <x v="2"/>
    <s v="Luis Holland"/>
    <n v="602.08000000000004"/>
    <x v="3"/>
  </r>
  <r>
    <s v="TXN339"/>
    <s v="Annual Software License"/>
    <x v="2"/>
    <n v="1"/>
    <n v="9622.4"/>
    <n v="9622.4"/>
    <d v="2024-06-15T00:00:00"/>
    <x v="4"/>
    <s v="Cynthia Jenkins"/>
    <n v="9622.4"/>
    <x v="11"/>
  </r>
  <r>
    <s v="TXN340"/>
    <s v="Printer Ink"/>
    <x v="3"/>
    <n v="16"/>
    <n v="11.46"/>
    <n v="183.36"/>
    <d v="2024-08-25T00:00:00"/>
    <x v="2"/>
    <s v="Jasmine Mcgee"/>
    <n v="183.36"/>
    <x v="7"/>
  </r>
  <r>
    <s v="TXN341"/>
    <s v="Annual Software License"/>
    <x v="2"/>
    <n v="1"/>
    <n v="6395.36"/>
    <n v="6395.36"/>
    <d v="2024-10-12T00:00:00"/>
    <x v="3"/>
    <s v="Luis Holland"/>
    <n v="6395.36"/>
    <x v="8"/>
  </r>
  <r>
    <s v="TXN342"/>
    <s v="Whiteboard"/>
    <x v="0"/>
    <n v="17"/>
    <n v="173.45"/>
    <n v="2948.65"/>
    <d v="2024-06-29T00:00:00"/>
    <x v="4"/>
    <s v="Kelly Joseph"/>
    <n v="2948.65"/>
    <x v="11"/>
  </r>
  <r>
    <s v="TXN343"/>
    <s v="Stapler"/>
    <x v="1"/>
    <n v="3"/>
    <n v="10.16"/>
    <n v="30.48"/>
    <d v="2024-01-10T00:00:00"/>
    <x v="4"/>
    <s v="Kevin Adams"/>
    <n v="30.48"/>
    <x v="3"/>
  </r>
  <r>
    <s v="TXN344"/>
    <s v="Laptop Bag"/>
    <x v="5"/>
    <n v="4"/>
    <n v="45.1"/>
    <n v="180.4"/>
    <d v="2024-01-02T00:00:00"/>
    <x v="0"/>
    <s v="Kelly Joseph"/>
    <n v="180.4"/>
    <x v="3"/>
  </r>
  <r>
    <s v="TXN345"/>
    <s v="Laptop Bag"/>
    <x v="5"/>
    <n v="3"/>
    <n v="39.04"/>
    <n v="117.12"/>
    <d v="2024-03-05T00:00:00"/>
    <x v="2"/>
    <s v="Kayla Hanson"/>
    <n v="117.12"/>
    <x v="9"/>
  </r>
  <r>
    <s v="TXN346"/>
    <s v="Whiteboard"/>
    <x v="0"/>
    <n v="13"/>
    <n v="163.63999999999999"/>
    <n v="2127.3200000000002"/>
    <d v="2024-03-11T00:00:00"/>
    <x v="0"/>
    <s v="Walter Pena"/>
    <n v="2127.3200000000002"/>
    <x v="9"/>
  </r>
  <r>
    <s v="TXN347"/>
    <s v="Whiteboard"/>
    <x v="0"/>
    <n v="2"/>
    <n v="171.07"/>
    <n v="342.14"/>
    <d v="2024-10-27T00:00:00"/>
    <x v="3"/>
    <s v="Luis Holland"/>
    <n v="342.14"/>
    <x v="8"/>
  </r>
  <r>
    <s v="TXN348"/>
    <s v="Printer"/>
    <x v="4"/>
    <n v="1"/>
    <n v="253.66"/>
    <n v="253.66"/>
    <d v="2024-05-17T00:00:00"/>
    <x v="3"/>
    <s v="Jasmine Mcgee"/>
    <n v="253.66"/>
    <x v="10"/>
  </r>
  <r>
    <s v="TXN349"/>
    <s v="Laptop"/>
    <x v="4"/>
    <n v="15"/>
    <n v="906.98"/>
    <n v="13604.7"/>
    <d v="2024-02-27T00:00:00"/>
    <x v="1"/>
    <s v="Lisa Parks"/>
    <n v="13604.7"/>
    <x v="4"/>
  </r>
  <r>
    <s v="TXN350"/>
    <s v="Stapler"/>
    <x v="1"/>
    <n v="1"/>
    <n v="10.31"/>
    <n v="10.31"/>
    <d v="2024-05-06T00:00:00"/>
    <x v="4"/>
    <s v="Cynthia Jenkins"/>
    <n v="10.31"/>
    <x v="10"/>
  </r>
  <r>
    <s v="TXN351"/>
    <s v="Whiteboard"/>
    <x v="0"/>
    <n v="14"/>
    <n v="167.09"/>
    <n v="2339.2600000000002"/>
    <d v="2024-02-14T00:00:00"/>
    <x v="4"/>
    <s v="Kelly Joseph"/>
    <n v="2339.2600000000002"/>
    <x v="4"/>
  </r>
  <r>
    <s v="TXN352"/>
    <s v="Whiteboard"/>
    <x v="0"/>
    <n v="8"/>
    <n v="140.93"/>
    <n v="1127.44"/>
    <d v="2024-04-03T00:00:00"/>
    <x v="2"/>
    <s v="Walter Pena"/>
    <n v="1127.44"/>
    <x v="0"/>
  </r>
  <r>
    <s v="TXN353"/>
    <s v="Printer Ink"/>
    <x v="3"/>
    <n v="19"/>
    <n v="18.350000000000001"/>
    <n v="348.65"/>
    <d v="2024-10-17T00:00:00"/>
    <x v="3"/>
    <s v="Walter Pena"/>
    <n v="348.65"/>
    <x v="8"/>
  </r>
  <r>
    <s v="TXN354"/>
    <s v="Printer"/>
    <x v="4"/>
    <n v="14"/>
    <n v="209.08"/>
    <n v="2927.12"/>
    <d v="2024-07-08T00:00:00"/>
    <x v="4"/>
    <s v="Walter Pena"/>
    <n v="2927.12"/>
    <x v="1"/>
  </r>
  <r>
    <s v="TXN355"/>
    <s v="Desk Chair"/>
    <x v="0"/>
    <n v="11"/>
    <n v="173.5"/>
    <n v="1908.5"/>
    <d v="2024-08-21T00:00:00"/>
    <x v="2"/>
    <s v="Noah Long"/>
    <n v="1908.5"/>
    <x v="7"/>
  </r>
  <r>
    <s v="TXN356"/>
    <s v="Printer Ink"/>
    <x v="3"/>
    <n v="8"/>
    <n v="15.49"/>
    <n v="123.92"/>
    <d v="2024-05-06T00:00:00"/>
    <x v="4"/>
    <s v="Lisa Parks"/>
    <n v="123.92"/>
    <x v="10"/>
  </r>
  <r>
    <s v="TXN357"/>
    <s v="Desk Chair"/>
    <x v="0"/>
    <n v="18"/>
    <n v="125.64"/>
    <n v="2261.52"/>
    <d v="2024-09-04T00:00:00"/>
    <x v="1"/>
    <s v="Amy Warner"/>
    <n v="2261.52"/>
    <x v="2"/>
  </r>
  <r>
    <s v="TXN358"/>
    <s v="Printer"/>
    <x v="4"/>
    <n v="5"/>
    <n v="227.58"/>
    <n v="1137.9000000000001"/>
    <d v="2024-09-14T00:00:00"/>
    <x v="3"/>
    <s v="Noah Long"/>
    <n v="1137.9000000000001"/>
    <x v="2"/>
  </r>
  <r>
    <s v="TXN359"/>
    <s v="Desk Chair"/>
    <x v="0"/>
    <n v="1"/>
    <n v="138.94999999999999"/>
    <n v="138.94999999999999"/>
    <d v="2024-08-30T00:00:00"/>
    <x v="4"/>
    <s v="Cynthia Jenkins"/>
    <n v="138.94999999999999"/>
    <x v="7"/>
  </r>
  <r>
    <s v="TXN360"/>
    <s v="Desk Chair"/>
    <x v="0"/>
    <n v="19"/>
    <n v="157.09"/>
    <n v="2984.71"/>
    <d v="2024-12-02T00:00:00"/>
    <x v="3"/>
    <s v="Aaron Hopkins"/>
    <n v="2984.71"/>
    <x v="6"/>
  </r>
  <r>
    <s v="TXN361"/>
    <s v="Laptop"/>
    <x v="4"/>
    <n v="14"/>
    <n v="895.47"/>
    <n v="12536.58"/>
    <d v="2024-04-18T00:00:00"/>
    <x v="0"/>
    <s v="Jasmine Mcgee"/>
    <n v="12536.58"/>
    <x v="0"/>
  </r>
  <r>
    <s v="TXN362"/>
    <s v="Laptop Bag"/>
    <x v="5"/>
    <n v="20"/>
    <n v="45.45"/>
    <n v="909"/>
    <d v="2024-06-23T00:00:00"/>
    <x v="0"/>
    <s v="Aaron Hopkins"/>
    <n v="909"/>
    <x v="11"/>
  </r>
  <r>
    <s v="TXN363"/>
    <s v="Laptop Bag"/>
    <x v="5"/>
    <n v="15"/>
    <n v="33.19"/>
    <n v="497.85"/>
    <d v="2024-02-04T00:00:00"/>
    <x v="0"/>
    <s v="Aaron Hopkins"/>
    <n v="497.85"/>
    <x v="4"/>
  </r>
  <r>
    <s v="TXN364"/>
    <s v="Laptop Bag"/>
    <x v="5"/>
    <n v="14"/>
    <n v="25.83"/>
    <n v="361.62"/>
    <d v="2024-10-27T00:00:00"/>
    <x v="2"/>
    <s v="Dawn Padilla"/>
    <n v="361.62"/>
    <x v="8"/>
  </r>
  <r>
    <s v="TXN365"/>
    <s v="Laptop"/>
    <x v="4"/>
    <n v="16"/>
    <n v="811"/>
    <n v="12976"/>
    <d v="2024-03-18T00:00:00"/>
    <x v="2"/>
    <s v="Aaron Hopkins"/>
    <n v="12976"/>
    <x v="9"/>
  </r>
  <r>
    <s v="TXN366"/>
    <s v="Printer"/>
    <x v="4"/>
    <n v="3"/>
    <n v="232.58"/>
    <n v="697.74"/>
    <d v="2024-01-06T00:00:00"/>
    <x v="2"/>
    <s v="Lisa Parks"/>
    <n v="697.74"/>
    <x v="3"/>
  </r>
  <r>
    <s v="TXN367"/>
    <s v="Laptop"/>
    <x v="4"/>
    <n v="1"/>
    <n v="935.7"/>
    <n v="935.7"/>
    <d v="2024-11-30T00:00:00"/>
    <x v="0"/>
    <s v="Kelly Joseph"/>
    <n v="935.7"/>
    <x v="5"/>
  </r>
  <r>
    <s v="TXN368"/>
    <s v="Laptop"/>
    <x v="4"/>
    <n v="9"/>
    <n v="931.22"/>
    <n v="8380.98"/>
    <d v="2024-01-30T00:00:00"/>
    <x v="4"/>
    <s v="Kelly Joseph"/>
    <n v="8380.98"/>
    <x v="3"/>
  </r>
  <r>
    <s v="TXN369"/>
    <s v="Printer"/>
    <x v="4"/>
    <n v="9"/>
    <n v="291.75"/>
    <n v="2625.75"/>
    <d v="2024-01-09T00:00:00"/>
    <x v="4"/>
    <s v="Todd James"/>
    <n v="2625.75"/>
    <x v="3"/>
  </r>
  <r>
    <s v="TXN370"/>
    <s v="Stapler"/>
    <x v="1"/>
    <n v="14"/>
    <n v="11.15"/>
    <n v="156.1"/>
    <d v="2024-05-12T00:00:00"/>
    <x v="3"/>
    <s v="Lisa Parks"/>
    <n v="156.1"/>
    <x v="10"/>
  </r>
  <r>
    <s v="TXN371"/>
    <s v="Desk Chair"/>
    <x v="0"/>
    <n v="17"/>
    <n v="160.16"/>
    <n v="2722.72"/>
    <d v="2024-11-14T00:00:00"/>
    <x v="4"/>
    <s v="Barry Johnson"/>
    <n v="2722.72"/>
    <x v="5"/>
  </r>
  <r>
    <s v="TXN372"/>
    <s v="Printer Ink"/>
    <x v="3"/>
    <n v="4"/>
    <n v="12.07"/>
    <n v="48.28"/>
    <d v="2024-05-03T00:00:00"/>
    <x v="3"/>
    <s v="Aaron Hopkins"/>
    <n v="48.28"/>
    <x v="10"/>
  </r>
  <r>
    <s v="TXN373"/>
    <s v="Notepad"/>
    <x v="3"/>
    <n v="7"/>
    <n v="1.41"/>
    <n v="9.8699999999999992"/>
    <d v="2024-01-17T00:00:00"/>
    <x v="1"/>
    <s v="Stephanie Bennett"/>
    <n v="9.8699999999999992"/>
    <x v="3"/>
  </r>
  <r>
    <s v="TXN374"/>
    <s v="Whiteboard"/>
    <x v="0"/>
    <n v="2"/>
    <n v="180.47"/>
    <n v="360.94"/>
    <d v="2024-02-13T00:00:00"/>
    <x v="3"/>
    <s v="Melissa Mckee"/>
    <n v="360.94"/>
    <x v="4"/>
  </r>
  <r>
    <s v="TXN375"/>
    <s v="Printer Ink"/>
    <x v="3"/>
    <n v="4"/>
    <n v="19.920000000000002"/>
    <n v="79.680000000000007"/>
    <d v="2024-06-11T00:00:00"/>
    <x v="0"/>
    <s v="Kevin Adams"/>
    <n v="79.680000000000007"/>
    <x v="11"/>
  </r>
  <r>
    <s v="TXN376"/>
    <s v="Monitor"/>
    <x v="4"/>
    <n v="1"/>
    <n v="254.54"/>
    <n v="254.54"/>
    <d v="2024-01-11T00:00:00"/>
    <x v="4"/>
    <s v="Jasmine Mcgee"/>
    <n v="254.54"/>
    <x v="3"/>
  </r>
  <r>
    <s v="TXN377"/>
    <s v="Printer"/>
    <x v="4"/>
    <n v="19"/>
    <n v="286.64999999999998"/>
    <n v="5446.35"/>
    <d v="2024-05-14T00:00:00"/>
    <x v="4"/>
    <s v="Kelly Joseph"/>
    <n v="5446.35"/>
    <x v="10"/>
  </r>
  <r>
    <s v="TXN378"/>
    <s v="Desk Chair"/>
    <x v="0"/>
    <n v="2"/>
    <n v="199.59"/>
    <n v="399.18"/>
    <d v="2024-01-25T00:00:00"/>
    <x v="4"/>
    <s v="Kelly Joseph"/>
    <n v="399.18"/>
    <x v="3"/>
  </r>
  <r>
    <s v="TXN379"/>
    <s v="Stapler"/>
    <x v="1"/>
    <n v="17"/>
    <n v="8.77"/>
    <n v="149.09"/>
    <d v="2024-01-13T00:00:00"/>
    <x v="4"/>
    <s v="Stephanie Bennett"/>
    <n v="149.09"/>
    <x v="3"/>
  </r>
  <r>
    <s v="TXN380"/>
    <s v="Printer"/>
    <x v="4"/>
    <n v="18"/>
    <n v="168.63"/>
    <n v="3035.34"/>
    <d v="2024-09-08T00:00:00"/>
    <x v="0"/>
    <s v="Laura White"/>
    <n v="3035.34"/>
    <x v="2"/>
  </r>
  <r>
    <s v="TXN381"/>
    <s v="Annual Software License"/>
    <x v="2"/>
    <n v="1"/>
    <n v="6658.84"/>
    <n v="6658.84"/>
    <d v="2024-04-25T00:00:00"/>
    <x v="2"/>
    <s v="Aaron Hopkins"/>
    <n v="6658.84"/>
    <x v="0"/>
  </r>
  <r>
    <s v="TXN382"/>
    <s v="Printer"/>
    <x v="4"/>
    <n v="9"/>
    <n v="166.38"/>
    <n v="1497.42"/>
    <d v="2024-03-06T00:00:00"/>
    <x v="3"/>
    <s v="Jasmine Mcgee"/>
    <n v="1497.42"/>
    <x v="9"/>
  </r>
  <r>
    <s v="TXN383"/>
    <s v="Laptop"/>
    <x v="4"/>
    <n v="13"/>
    <n v="885.9"/>
    <n v="11516.7"/>
    <d v="2024-12-22T00:00:00"/>
    <x v="4"/>
    <s v="Dawn Padilla"/>
    <n v="11516.7"/>
    <x v="6"/>
  </r>
  <r>
    <s v="TXN384"/>
    <s v="Monitor"/>
    <x v="4"/>
    <n v="3"/>
    <n v="363.3"/>
    <n v="1089.9000000000001"/>
    <d v="2024-07-28T00:00:00"/>
    <x v="0"/>
    <s v="Jasmine Mcgee"/>
    <n v="1089.9000000000001"/>
    <x v="1"/>
  </r>
  <r>
    <s v="TXN385"/>
    <s v="Whiteboard"/>
    <x v="0"/>
    <n v="3"/>
    <n v="122.09"/>
    <n v="366.27"/>
    <d v="2024-04-25T00:00:00"/>
    <x v="4"/>
    <s v="Cynthia Jenkins"/>
    <n v="366.27"/>
    <x v="0"/>
  </r>
  <r>
    <s v="TXN386"/>
    <s v="Printer"/>
    <x v="4"/>
    <n v="10"/>
    <n v="171.14"/>
    <n v="1711.4"/>
    <d v="2024-03-01T00:00:00"/>
    <x v="3"/>
    <s v="Kelly Joseph"/>
    <n v="1711.4"/>
    <x v="9"/>
  </r>
  <r>
    <s v="TXN387"/>
    <s v="Laptop"/>
    <x v="4"/>
    <n v="8"/>
    <n v="949.48"/>
    <n v="7595.84"/>
    <d v="2024-05-22T00:00:00"/>
    <x v="0"/>
    <s v="Todd James"/>
    <n v="7595.84"/>
    <x v="10"/>
  </r>
  <r>
    <s v="TXN388"/>
    <s v="Annual Software License"/>
    <x v="2"/>
    <n v="1"/>
    <n v="5284.47"/>
    <n v="5284.47"/>
    <d v="2024-07-19T00:00:00"/>
    <x v="1"/>
    <s v="Lisa Parks"/>
    <n v="5284.47"/>
    <x v="1"/>
  </r>
  <r>
    <s v="TXN389"/>
    <s v="Laptop Bag"/>
    <x v="5"/>
    <n v="18"/>
    <n v="43.54"/>
    <n v="783.72"/>
    <d v="2024-03-27T00:00:00"/>
    <x v="2"/>
    <s v="Walter Pena"/>
    <n v="783.72"/>
    <x v="9"/>
  </r>
  <r>
    <s v="TXN390"/>
    <s v="Monitor"/>
    <x v="4"/>
    <n v="13"/>
    <n v="325.75"/>
    <n v="4234.75"/>
    <d v="2024-07-06T00:00:00"/>
    <x v="0"/>
    <s v="Stephanie Bennett"/>
    <n v="4234.75"/>
    <x v="1"/>
  </r>
  <r>
    <s v="TXN391"/>
    <s v="Stapler"/>
    <x v="1"/>
    <n v="3"/>
    <n v="10.6"/>
    <n v="31.8"/>
    <d v="2024-06-01T00:00:00"/>
    <x v="4"/>
    <s v="Nicole Clay"/>
    <n v="31.8"/>
    <x v="11"/>
  </r>
  <r>
    <s v="TXN392"/>
    <s v="Notepad"/>
    <x v="3"/>
    <n v="14"/>
    <n v="1.61"/>
    <n v="22.54"/>
    <d v="2024-05-01T00:00:00"/>
    <x v="0"/>
    <s v="Lisa Parks"/>
    <n v="22.54"/>
    <x v="10"/>
  </r>
  <r>
    <s v="TXN393"/>
    <s v="Whiteboard"/>
    <x v="0"/>
    <n v="13"/>
    <n v="149.83000000000001"/>
    <n v="1947.79"/>
    <d v="2024-01-16T00:00:00"/>
    <x v="4"/>
    <s v="Cynthia Jenkins"/>
    <n v="1947.79"/>
    <x v="3"/>
  </r>
  <r>
    <s v="TXN394"/>
    <s v="Monitor"/>
    <x v="4"/>
    <n v="12"/>
    <n v="262.86"/>
    <n v="3154.32"/>
    <d v="2024-11-21T00:00:00"/>
    <x v="2"/>
    <s v="Stephanie Bennett"/>
    <n v="3154.32"/>
    <x v="5"/>
  </r>
  <r>
    <s v="TXN395"/>
    <s v="Annual Software License"/>
    <x v="2"/>
    <n v="1"/>
    <n v="9550.0499999999993"/>
    <n v="9550.0499999999993"/>
    <d v="2024-05-12T00:00:00"/>
    <x v="2"/>
    <s v="Rebecca Bell"/>
    <n v="9550.0499999999993"/>
    <x v="10"/>
  </r>
  <r>
    <s v="TXN396"/>
    <s v="Monitor"/>
    <x v="4"/>
    <n v="3"/>
    <n v="294.24"/>
    <n v="882.72"/>
    <d v="2024-03-10T00:00:00"/>
    <x v="2"/>
    <s v="Laura White"/>
    <n v="882.72"/>
    <x v="9"/>
  </r>
  <r>
    <s v="TXN397"/>
    <s v="Whiteboard"/>
    <x v="0"/>
    <n v="2"/>
    <n v="133.13"/>
    <n v="266.26"/>
    <d v="2024-11-22T00:00:00"/>
    <x v="4"/>
    <s v="Laura White"/>
    <n v="266.26"/>
    <x v="5"/>
  </r>
  <r>
    <s v="TXN398"/>
    <s v="Whiteboard"/>
    <x v="0"/>
    <n v="19"/>
    <n v="166.68"/>
    <n v="3166.92"/>
    <d v="2024-09-01T00:00:00"/>
    <x v="2"/>
    <s v="Jasmine Mcgee"/>
    <n v="3166.92"/>
    <x v="2"/>
  </r>
  <r>
    <s v="TXN399"/>
    <s v="Notepad"/>
    <x v="3"/>
    <n v="6"/>
    <n v="1.56"/>
    <n v="9.36"/>
    <d v="2024-12-12T00:00:00"/>
    <x v="4"/>
    <s v="Barry Johnson"/>
    <n v="9.36"/>
    <x v="6"/>
  </r>
  <r>
    <s v="TXN400"/>
    <s v="Printer"/>
    <x v="4"/>
    <n v="2"/>
    <n v="219.62"/>
    <n v="439.24"/>
    <d v="2024-09-12T00:00:00"/>
    <x v="0"/>
    <s v="Kayla Hanson"/>
    <n v="439.24"/>
    <x v="2"/>
  </r>
  <r>
    <s v="TXN401"/>
    <s v="Laptop Bag"/>
    <x v="5"/>
    <n v="9"/>
    <n v="22.03"/>
    <n v="198.27"/>
    <d v="2024-07-10T00:00:00"/>
    <x v="3"/>
    <s v="Jasmine Mcgee"/>
    <n v="198.27"/>
    <x v="1"/>
  </r>
  <r>
    <s v="TXN402"/>
    <s v="Printer"/>
    <x v="4"/>
    <n v="11"/>
    <n v="249.71"/>
    <n v="2746.81"/>
    <d v="2024-11-20T00:00:00"/>
    <x v="4"/>
    <s v="Jasmine Mcgee"/>
    <n v="2746.81"/>
    <x v="5"/>
  </r>
  <r>
    <s v="TXN403"/>
    <s v="Stapler"/>
    <x v="1"/>
    <n v="9"/>
    <n v="7.9"/>
    <n v="71.099999999999994"/>
    <d v="2024-11-20T00:00:00"/>
    <x v="1"/>
    <s v="Dawn Padilla"/>
    <n v="71.099999999999994"/>
    <x v="5"/>
  </r>
  <r>
    <s v="TXN404"/>
    <s v="Laptop"/>
    <x v="4"/>
    <n v="20"/>
    <n v="924.73"/>
    <n v="18494.599999999999"/>
    <d v="2024-05-21T00:00:00"/>
    <x v="1"/>
    <s v="Jasmine Mcgee"/>
    <n v="18494.599999999999"/>
    <x v="10"/>
  </r>
  <r>
    <s v="TXN405"/>
    <s v="Annual Software License"/>
    <x v="2"/>
    <n v="1"/>
    <n v="7430.94"/>
    <n v="7430.94"/>
    <d v="2024-04-09T00:00:00"/>
    <x v="3"/>
    <s v="Luis Holland"/>
    <n v="7430.94"/>
    <x v="0"/>
  </r>
  <r>
    <s v="TXN406"/>
    <s v="Laptop"/>
    <x v="4"/>
    <n v="5"/>
    <n v="840.12"/>
    <n v="4200.6000000000004"/>
    <d v="2024-09-27T00:00:00"/>
    <x v="0"/>
    <s v="Kelly Joseph"/>
    <n v="4200.6000000000004"/>
    <x v="2"/>
  </r>
  <r>
    <s v="TXN407"/>
    <s v="Notepad"/>
    <x v="3"/>
    <n v="16"/>
    <n v="2.67"/>
    <n v="42.72"/>
    <d v="2024-03-10T00:00:00"/>
    <x v="0"/>
    <s v="Lisa Parks"/>
    <n v="42.72"/>
    <x v="9"/>
  </r>
  <r>
    <s v="TXN408"/>
    <s v="Monitor"/>
    <x v="4"/>
    <n v="11"/>
    <n v="230.1"/>
    <n v="2531.1"/>
    <d v="2024-12-24T00:00:00"/>
    <x v="0"/>
    <s v="Walter Pena"/>
    <n v="2531.1"/>
    <x v="6"/>
  </r>
  <r>
    <s v="TXN409"/>
    <s v="Laptop Bag"/>
    <x v="5"/>
    <n v="16"/>
    <n v="30.6"/>
    <n v="489.6"/>
    <d v="2024-11-11T00:00:00"/>
    <x v="1"/>
    <s v="Kelly Joseph"/>
    <n v="489.6"/>
    <x v="5"/>
  </r>
  <r>
    <s v="TXN410"/>
    <s v="Notepad"/>
    <x v="3"/>
    <n v="20"/>
    <n v="1.29"/>
    <n v="25.8"/>
    <d v="2024-05-04T00:00:00"/>
    <x v="0"/>
    <s v="Kelly Joseph"/>
    <n v="25.8"/>
    <x v="10"/>
  </r>
  <r>
    <s v="TXN411"/>
    <s v="Laptop"/>
    <x v="4"/>
    <n v="12"/>
    <n v="855.91"/>
    <n v="10270.92"/>
    <d v="2024-03-22T00:00:00"/>
    <x v="3"/>
    <s v="Luis Holland"/>
    <n v="10270.92"/>
    <x v="9"/>
  </r>
  <r>
    <s v="TXN412"/>
    <s v="Printer"/>
    <x v="4"/>
    <n v="20"/>
    <n v="225.82"/>
    <n v="4516.3999999999996"/>
    <d v="2024-03-15T00:00:00"/>
    <x v="2"/>
    <s v="Aaron Hopkins"/>
    <n v="4516.3999999999996"/>
    <x v="9"/>
  </r>
  <r>
    <s v="TXN413"/>
    <s v="Whiteboard"/>
    <x v="0"/>
    <n v="16"/>
    <n v="140.62"/>
    <n v="2249.92"/>
    <d v="2024-03-07T00:00:00"/>
    <x v="4"/>
    <s v="Aaron Hopkins"/>
    <n v="2249.92"/>
    <x v="9"/>
  </r>
  <r>
    <s v="TXN414"/>
    <s v="Monitor"/>
    <x v="4"/>
    <n v="12"/>
    <n v="370.17"/>
    <n v="4442.04"/>
    <d v="2024-11-04T00:00:00"/>
    <x v="2"/>
    <s v="Kevin Adams"/>
    <n v="4442.04"/>
    <x v="5"/>
  </r>
  <r>
    <s v="TXN415"/>
    <s v="Stapler"/>
    <x v="1"/>
    <n v="14"/>
    <n v="8.4"/>
    <n v="117.6"/>
    <d v="2024-09-30T00:00:00"/>
    <x v="2"/>
    <s v="Dawn Padilla"/>
    <n v="117.6"/>
    <x v="2"/>
  </r>
  <r>
    <s v="TXN416"/>
    <s v="Stapler"/>
    <x v="1"/>
    <n v="19"/>
    <n v="12.71"/>
    <n v="241.49"/>
    <d v="2024-01-29T00:00:00"/>
    <x v="4"/>
    <s v="Kevin Adams"/>
    <n v="241.49"/>
    <x v="3"/>
  </r>
  <r>
    <s v="TXN417"/>
    <s v="Printer Ink"/>
    <x v="3"/>
    <n v="2"/>
    <n v="18.489999999999998"/>
    <n v="36.979999999999997"/>
    <d v="2024-03-25T00:00:00"/>
    <x v="1"/>
    <s v="Noah Long"/>
    <n v="36.979999999999997"/>
    <x v="9"/>
  </r>
  <r>
    <s v="TXN418"/>
    <s v="Monitor"/>
    <x v="4"/>
    <n v="6"/>
    <n v="234.51"/>
    <n v="1407.06"/>
    <d v="2024-02-03T00:00:00"/>
    <x v="0"/>
    <s v="Kelly Joseph"/>
    <n v="1407.06"/>
    <x v="4"/>
  </r>
  <r>
    <s v="TXN419"/>
    <s v="Whiteboard"/>
    <x v="0"/>
    <n v="13"/>
    <n v="198"/>
    <n v="2574"/>
    <d v="2024-07-18T00:00:00"/>
    <x v="0"/>
    <s v="Stephanie Bennett"/>
    <n v="2574"/>
    <x v="1"/>
  </r>
  <r>
    <s v="TXN420"/>
    <s v="Laptop"/>
    <x v="4"/>
    <n v="5"/>
    <n v="876.61"/>
    <n v="4383.05"/>
    <d v="2024-12-20T00:00:00"/>
    <x v="1"/>
    <s v="Kelly Joseph"/>
    <n v="4383.05"/>
    <x v="6"/>
  </r>
  <r>
    <s v="TXN421"/>
    <s v="Monitor"/>
    <x v="4"/>
    <n v="5"/>
    <n v="314.06"/>
    <n v="1570.3"/>
    <d v="2024-07-07T00:00:00"/>
    <x v="4"/>
    <s v="Jasmine Mcgee"/>
    <n v="1570.3"/>
    <x v="1"/>
  </r>
  <r>
    <s v="TXN422"/>
    <s v="Stapler"/>
    <x v="1"/>
    <n v="9"/>
    <n v="7.49"/>
    <n v="67.41"/>
    <d v="2024-01-23T00:00:00"/>
    <x v="3"/>
    <s v="Stephanie Bennett"/>
    <n v="67.41"/>
    <x v="3"/>
  </r>
  <r>
    <s v="TXN423"/>
    <s v="Laptop Bag"/>
    <x v="5"/>
    <n v="18"/>
    <n v="26.48"/>
    <n v="476.64"/>
    <d v="2024-12-22T00:00:00"/>
    <x v="0"/>
    <s v="Noah Long"/>
    <n v="476.64"/>
    <x v="6"/>
  </r>
  <r>
    <s v="TXN424"/>
    <s v="Printer Ink"/>
    <x v="3"/>
    <n v="5"/>
    <n v="18.61"/>
    <n v="93.05"/>
    <d v="2024-03-21T00:00:00"/>
    <x v="4"/>
    <s v="Laura White"/>
    <n v="93.05"/>
    <x v="9"/>
  </r>
  <r>
    <s v="TXN425"/>
    <s v="Printer Ink"/>
    <x v="3"/>
    <n v="3"/>
    <n v="18.22"/>
    <n v="54.66"/>
    <d v="2024-01-06T00:00:00"/>
    <x v="3"/>
    <s v="Stephanie Bennett"/>
    <n v="54.66"/>
    <x v="3"/>
  </r>
  <r>
    <s v="TXN426"/>
    <s v="Notepad"/>
    <x v="3"/>
    <n v="17"/>
    <n v="2.5499999999999998"/>
    <n v="43.35"/>
    <d v="2024-10-31T00:00:00"/>
    <x v="1"/>
    <s v="Stephanie Bennett"/>
    <n v="43.35"/>
    <x v="8"/>
  </r>
  <r>
    <s v="TXN427"/>
    <s v="Annual Software License"/>
    <x v="2"/>
    <n v="1"/>
    <n v="5117.84"/>
    <n v="5117.84"/>
    <d v="2024-01-13T00:00:00"/>
    <x v="1"/>
    <s v="Jasmine Mcgee"/>
    <n v="5117.84"/>
    <x v="3"/>
  </r>
  <r>
    <s v="TXN428"/>
    <s v="Laptop Bag"/>
    <x v="5"/>
    <n v="12"/>
    <n v="20.3"/>
    <n v="243.6"/>
    <d v="2024-04-19T00:00:00"/>
    <x v="2"/>
    <s v="Stephanie Bennett"/>
    <n v="243.6"/>
    <x v="0"/>
  </r>
  <r>
    <s v="TXN429"/>
    <s v="Laptop Bag"/>
    <x v="5"/>
    <n v="18"/>
    <n v="34.97"/>
    <n v="629.46"/>
    <d v="2024-03-23T00:00:00"/>
    <x v="3"/>
    <s v="Todd James"/>
    <n v="629.46"/>
    <x v="9"/>
  </r>
  <r>
    <s v="TXN430"/>
    <s v="Laptop"/>
    <x v="4"/>
    <n v="17"/>
    <n v="844.38"/>
    <n v="14354.46"/>
    <d v="2024-09-11T00:00:00"/>
    <x v="4"/>
    <s v="Stephanie Bennett"/>
    <n v="14354.46"/>
    <x v="2"/>
  </r>
  <r>
    <s v="TXN431"/>
    <s v="Annual Software License"/>
    <x v="2"/>
    <n v="1"/>
    <n v="8617.42"/>
    <n v="8617.42"/>
    <d v="2024-09-09T00:00:00"/>
    <x v="0"/>
    <s v="Kelly Joseph"/>
    <n v="8617.42"/>
    <x v="2"/>
  </r>
  <r>
    <s v="TXN432"/>
    <s v="Whiteboard"/>
    <x v="0"/>
    <n v="13"/>
    <n v="113.56"/>
    <n v="1476.28"/>
    <d v="2024-08-10T00:00:00"/>
    <x v="2"/>
    <s v="Walter Pena"/>
    <n v="1476.28"/>
    <x v="7"/>
  </r>
  <r>
    <s v="TXN433"/>
    <s v="Stapler"/>
    <x v="1"/>
    <n v="3"/>
    <n v="5.49"/>
    <n v="16.47"/>
    <d v="2024-05-16T00:00:00"/>
    <x v="4"/>
    <s v="Noah Long"/>
    <n v="16.47"/>
    <x v="10"/>
  </r>
  <r>
    <s v="TXN434"/>
    <s v="Annual Software License"/>
    <x v="2"/>
    <n v="1"/>
    <n v="8104.62"/>
    <n v="8104.62"/>
    <d v="2024-10-17T00:00:00"/>
    <x v="2"/>
    <s v="Aaron Hopkins"/>
    <n v="8104.62"/>
    <x v="8"/>
  </r>
  <r>
    <s v="TXN435"/>
    <s v="Printer"/>
    <x v="4"/>
    <n v="7"/>
    <n v="265.41000000000003"/>
    <n v="1857.87"/>
    <d v="2024-03-18T00:00:00"/>
    <x v="3"/>
    <s v="Jasmine Mcgee"/>
    <n v="1857.87"/>
    <x v="9"/>
  </r>
  <r>
    <s v="TXN436"/>
    <s v="Laptop"/>
    <x v="4"/>
    <n v="2"/>
    <n v="806.52"/>
    <n v="1613.04"/>
    <d v="2024-05-16T00:00:00"/>
    <x v="4"/>
    <s v="Stephanie Bennett"/>
    <n v="1613.04"/>
    <x v="10"/>
  </r>
  <r>
    <s v="TXN437"/>
    <s v="Laptop"/>
    <x v="4"/>
    <n v="9"/>
    <n v="926.54"/>
    <n v="8338.86"/>
    <d v="2024-02-23T00:00:00"/>
    <x v="2"/>
    <s v="Melissa Mckee"/>
    <n v="8338.86"/>
    <x v="4"/>
  </r>
  <r>
    <s v="TXN438"/>
    <s v="Monitor"/>
    <x v="4"/>
    <n v="3"/>
    <n v="244.23"/>
    <n v="732.69"/>
    <d v="2024-11-07T00:00:00"/>
    <x v="4"/>
    <s v="Jasmine Mcgee"/>
    <n v="732.69"/>
    <x v="5"/>
  </r>
  <r>
    <s v="TXN439"/>
    <s v="Printer Ink"/>
    <x v="3"/>
    <n v="12"/>
    <n v="16.350000000000001"/>
    <n v="196.2"/>
    <d v="2024-07-28T00:00:00"/>
    <x v="4"/>
    <s v="Luis Holland"/>
    <n v="196.2"/>
    <x v="1"/>
  </r>
  <r>
    <s v="TXN440"/>
    <s v="Laptop"/>
    <x v="4"/>
    <n v="17"/>
    <n v="934.77"/>
    <n v="15891.09"/>
    <d v="2024-02-17T00:00:00"/>
    <x v="2"/>
    <s v="Noah Long"/>
    <n v="15891.09"/>
    <x v="4"/>
  </r>
  <r>
    <s v="TXN441"/>
    <s v="Stapler"/>
    <x v="1"/>
    <n v="13"/>
    <n v="13.56"/>
    <n v="176.28"/>
    <d v="2024-01-04T00:00:00"/>
    <x v="2"/>
    <s v="Stephanie Bennett"/>
    <n v="176.28"/>
    <x v="3"/>
  </r>
  <r>
    <s v="TXN442"/>
    <s v="Printer"/>
    <x v="4"/>
    <n v="6"/>
    <n v="194.52"/>
    <n v="1167.1199999999999"/>
    <d v="2024-09-13T00:00:00"/>
    <x v="2"/>
    <s v="Dawn Padilla"/>
    <n v="1167.1199999999999"/>
    <x v="2"/>
  </r>
  <r>
    <s v="TXN443"/>
    <s v="Laptop"/>
    <x v="4"/>
    <n v="11"/>
    <n v="968.59"/>
    <n v="10654.49"/>
    <d v="2024-12-08T00:00:00"/>
    <x v="4"/>
    <s v="Noah Long"/>
    <n v="10654.49"/>
    <x v="6"/>
  </r>
  <r>
    <s v="TXN444"/>
    <s v="Desk Chair"/>
    <x v="0"/>
    <n v="13"/>
    <n v="154.6"/>
    <n v="2009.8"/>
    <d v="2024-08-05T00:00:00"/>
    <x v="4"/>
    <s v="Dawn Padilla"/>
    <n v="2009.8"/>
    <x v="7"/>
  </r>
  <r>
    <s v="TXN445"/>
    <s v="Whiteboard"/>
    <x v="0"/>
    <n v="10"/>
    <n v="114.7"/>
    <n v="1147"/>
    <d v="2024-06-14T00:00:00"/>
    <x v="1"/>
    <s v="Barry Johnson"/>
    <n v="1147"/>
    <x v="11"/>
  </r>
  <r>
    <s v="TXN446"/>
    <s v="Laptop"/>
    <x v="4"/>
    <n v="1"/>
    <n v="953.39"/>
    <n v="953.39"/>
    <d v="2024-12-06T00:00:00"/>
    <x v="3"/>
    <s v="Jessica Hodges"/>
    <n v="953.39"/>
    <x v="6"/>
  </r>
  <r>
    <s v="TXN447"/>
    <s v="Annual Software License"/>
    <x v="2"/>
    <n v="1"/>
    <n v="6738.19"/>
    <n v="6738.19"/>
    <d v="2024-10-18T00:00:00"/>
    <x v="3"/>
    <s v="Kelly Joseph"/>
    <n v="6738.19"/>
    <x v="8"/>
  </r>
  <r>
    <s v="TXN448"/>
    <s v="Notepad"/>
    <x v="3"/>
    <n v="7"/>
    <n v="2.96"/>
    <n v="20.72"/>
    <d v="2024-05-24T00:00:00"/>
    <x v="0"/>
    <s v="Lisa Parks"/>
    <n v="20.72"/>
    <x v="10"/>
  </r>
  <r>
    <s v="TXN449"/>
    <s v="Laptop Bag"/>
    <x v="5"/>
    <n v="2"/>
    <n v="39"/>
    <n v="78"/>
    <d v="2024-03-12T00:00:00"/>
    <x v="1"/>
    <s v="Nicole Clay"/>
    <n v="78"/>
    <x v="9"/>
  </r>
  <r>
    <s v="TXN450"/>
    <s v="Annual Software License"/>
    <x v="2"/>
    <n v="1"/>
    <n v="5047.01"/>
    <n v="5047.01"/>
    <d v="2024-09-21T00:00:00"/>
    <x v="3"/>
    <s v="Dawn Padilla"/>
    <n v="5047.01"/>
    <x v="2"/>
  </r>
  <r>
    <s v="TXN451"/>
    <s v="Laptop Bag"/>
    <x v="5"/>
    <n v="6"/>
    <n v="29.86"/>
    <n v="179.16"/>
    <d v="2024-02-06T00:00:00"/>
    <x v="3"/>
    <s v="Amy Warner"/>
    <n v="179.16"/>
    <x v="4"/>
  </r>
  <r>
    <s v="TXN452"/>
    <s v="Printer"/>
    <x v="4"/>
    <n v="18"/>
    <n v="152.01"/>
    <n v="2736.18"/>
    <d v="2024-03-22T00:00:00"/>
    <x v="4"/>
    <s v="Noah Long"/>
    <n v="2736.18"/>
    <x v="9"/>
  </r>
  <r>
    <s v="TXN453"/>
    <s v="Stapler"/>
    <x v="1"/>
    <n v="6"/>
    <n v="8.6"/>
    <n v="51.6"/>
    <d v="2024-09-03T00:00:00"/>
    <x v="2"/>
    <s v="Melissa Mckee"/>
    <n v="51.6"/>
    <x v="2"/>
  </r>
  <r>
    <s v="TXN454"/>
    <s v="Stapler"/>
    <x v="1"/>
    <n v="16"/>
    <n v="5.35"/>
    <n v="85.6"/>
    <d v="2024-07-31T00:00:00"/>
    <x v="1"/>
    <s v="Luis Holland"/>
    <n v="85.6"/>
    <x v="1"/>
  </r>
  <r>
    <s v="TXN455"/>
    <s v="Laptop Bag"/>
    <x v="5"/>
    <n v="4"/>
    <n v="30.47"/>
    <n v="121.88"/>
    <d v="2024-04-10T00:00:00"/>
    <x v="1"/>
    <s v="Todd James"/>
    <n v="121.88"/>
    <x v="0"/>
  </r>
  <r>
    <s v="TXN456"/>
    <s v="Laptop Bag"/>
    <x v="5"/>
    <n v="13"/>
    <n v="42.31"/>
    <n v="550.03"/>
    <d v="2024-07-12T00:00:00"/>
    <x v="2"/>
    <s v="Cynthia Jenkins"/>
    <n v="550.03"/>
    <x v="1"/>
  </r>
  <r>
    <s v="TXN457"/>
    <s v="Monitor"/>
    <x v="4"/>
    <n v="18"/>
    <n v="255.8"/>
    <n v="4604.3999999999996"/>
    <d v="2024-10-09T00:00:00"/>
    <x v="0"/>
    <s v="Aaron Hopkins"/>
    <n v="4604.3999999999996"/>
    <x v="8"/>
  </r>
  <r>
    <s v="TXN458"/>
    <s v="Printer"/>
    <x v="4"/>
    <n v="20"/>
    <n v="205.73"/>
    <n v="4114.6000000000004"/>
    <d v="2024-06-04T00:00:00"/>
    <x v="2"/>
    <s v="Lisa Parks"/>
    <n v="4114.6000000000004"/>
    <x v="11"/>
  </r>
  <r>
    <s v="TXN459"/>
    <s v="Annual Software License"/>
    <x v="2"/>
    <n v="1"/>
    <n v="6685.33"/>
    <n v="6685.33"/>
    <d v="2024-04-23T00:00:00"/>
    <x v="0"/>
    <s v="Barry Johnson"/>
    <n v="6685.33"/>
    <x v="0"/>
  </r>
  <r>
    <s v="TXN460"/>
    <s v="Monitor"/>
    <x v="4"/>
    <n v="11"/>
    <n v="282.5"/>
    <n v="3107.5"/>
    <d v="2024-04-02T00:00:00"/>
    <x v="1"/>
    <s v="Melissa Mckee"/>
    <n v="3107.5"/>
    <x v="0"/>
  </r>
  <r>
    <s v="TXN461"/>
    <s v="Printer Ink"/>
    <x v="3"/>
    <n v="14"/>
    <n v="11.02"/>
    <n v="154.28"/>
    <d v="2024-02-24T00:00:00"/>
    <x v="0"/>
    <s v="Jessica Hodges"/>
    <n v="154.28"/>
    <x v="4"/>
  </r>
  <r>
    <s v="TXN462"/>
    <s v="Laptop Bag"/>
    <x v="5"/>
    <n v="17"/>
    <n v="34.659999999999997"/>
    <n v="589.22"/>
    <d v="2024-01-13T00:00:00"/>
    <x v="0"/>
    <s v="Jasmine Mcgee"/>
    <n v="589.22"/>
    <x v="3"/>
  </r>
  <r>
    <s v="TXN463"/>
    <s v="Notepad"/>
    <x v="3"/>
    <n v="7"/>
    <n v="1.42"/>
    <n v="9.94"/>
    <d v="2024-06-04T00:00:00"/>
    <x v="1"/>
    <s v="Laura White"/>
    <n v="9.94"/>
    <x v="11"/>
  </r>
  <r>
    <s v="TXN464"/>
    <s v="Notepad"/>
    <x v="3"/>
    <n v="3"/>
    <n v="2.98"/>
    <n v="8.94"/>
    <d v="2024-01-20T00:00:00"/>
    <x v="0"/>
    <s v="Kevin Adams"/>
    <n v="8.94"/>
    <x v="3"/>
  </r>
  <r>
    <s v="TXN465"/>
    <s v="Stapler"/>
    <x v="1"/>
    <n v="10"/>
    <n v="9.52"/>
    <n v="95.2"/>
    <d v="2024-07-18T00:00:00"/>
    <x v="0"/>
    <s v="Lisa Parks"/>
    <n v="95.2"/>
    <x v="1"/>
  </r>
  <r>
    <s v="TXN466"/>
    <s v="Desk Chair"/>
    <x v="0"/>
    <n v="7"/>
    <n v="185.08"/>
    <n v="1295.56"/>
    <d v="2024-01-11T00:00:00"/>
    <x v="4"/>
    <s v="Laura White"/>
    <n v="1295.56"/>
    <x v="3"/>
  </r>
  <r>
    <s v="TXN467"/>
    <s v="Printer Ink"/>
    <x v="3"/>
    <n v="6"/>
    <n v="17.63"/>
    <n v="105.78"/>
    <d v="2024-06-12T00:00:00"/>
    <x v="1"/>
    <s v="Todd James"/>
    <n v="105.78"/>
    <x v="11"/>
  </r>
  <r>
    <s v="TXN468"/>
    <s v="Monitor"/>
    <x v="4"/>
    <n v="17"/>
    <n v="202.33"/>
    <n v="3439.61"/>
    <d v="2024-02-08T00:00:00"/>
    <x v="4"/>
    <s v="Walter Pena"/>
    <n v="3439.61"/>
    <x v="4"/>
  </r>
  <r>
    <s v="TXN469"/>
    <s v="Desk Chair"/>
    <x v="0"/>
    <n v="11"/>
    <n v="150.66"/>
    <n v="1657.26"/>
    <d v="2024-03-07T00:00:00"/>
    <x v="3"/>
    <s v="Laura White"/>
    <n v="1657.26"/>
    <x v="9"/>
  </r>
  <r>
    <s v="TXN470"/>
    <s v="Stapler"/>
    <x v="1"/>
    <n v="10"/>
    <n v="14.35"/>
    <n v="143.5"/>
    <d v="2024-08-08T00:00:00"/>
    <x v="3"/>
    <s v="Jasmine Mcgee"/>
    <n v="143.5"/>
    <x v="7"/>
  </r>
  <r>
    <s v="TXN471"/>
    <s v="Printer Ink"/>
    <x v="3"/>
    <n v="15"/>
    <n v="18.14"/>
    <n v="272.10000000000002"/>
    <d v="2024-07-20T00:00:00"/>
    <x v="1"/>
    <s v="Todd James"/>
    <n v="272.10000000000002"/>
    <x v="1"/>
  </r>
  <r>
    <s v="TXN472"/>
    <s v="Laptop"/>
    <x v="4"/>
    <n v="18"/>
    <n v="840.57"/>
    <n v="15130.26"/>
    <d v="2024-03-05T00:00:00"/>
    <x v="0"/>
    <s v="Melissa Mckee"/>
    <n v="15130.26"/>
    <x v="9"/>
  </r>
  <r>
    <s v="TXN473"/>
    <s v="Annual Software License"/>
    <x v="2"/>
    <n v="1"/>
    <n v="5151.72"/>
    <n v="5151.72"/>
    <d v="2024-07-29T00:00:00"/>
    <x v="0"/>
    <s v="Kayla Hanson"/>
    <n v="5151.72"/>
    <x v="1"/>
  </r>
  <r>
    <s v="TXN474"/>
    <s v="Notepad"/>
    <x v="3"/>
    <n v="16"/>
    <n v="1.81"/>
    <n v="28.96"/>
    <d v="2024-02-10T00:00:00"/>
    <x v="0"/>
    <s v="Stephanie Bennett"/>
    <n v="28.96"/>
    <x v="4"/>
  </r>
  <r>
    <s v="TXN475"/>
    <s v="Printer Ink"/>
    <x v="3"/>
    <n v="16"/>
    <n v="13.12"/>
    <n v="209.92"/>
    <d v="2024-09-14T00:00:00"/>
    <x v="1"/>
    <s v="Todd James"/>
    <n v="209.92"/>
    <x v="2"/>
  </r>
  <r>
    <s v="TXN476"/>
    <s v="Annual Software License"/>
    <x v="2"/>
    <n v="1"/>
    <n v="5159.92"/>
    <n v="5159.92"/>
    <d v="2024-10-11T00:00:00"/>
    <x v="0"/>
    <s v="Dawn Padilla"/>
    <n v="5159.92"/>
    <x v="8"/>
  </r>
  <r>
    <s v="TXN477"/>
    <s v="Laptop Bag"/>
    <x v="5"/>
    <n v="15"/>
    <n v="21.66"/>
    <n v="324.89999999999998"/>
    <d v="2024-12-14T00:00:00"/>
    <x v="3"/>
    <s v="Todd James"/>
    <n v="324.89999999999998"/>
    <x v="6"/>
  </r>
  <r>
    <s v="TXN478"/>
    <s v="Printer Ink"/>
    <x v="3"/>
    <n v="6"/>
    <n v="16.09"/>
    <n v="96.54"/>
    <d v="2024-08-10T00:00:00"/>
    <x v="3"/>
    <s v="Kevin Adams"/>
    <n v="96.54"/>
    <x v="7"/>
  </r>
  <r>
    <s v="TXN479"/>
    <s v="Stapler"/>
    <x v="1"/>
    <n v="2"/>
    <n v="14.14"/>
    <n v="28.28"/>
    <d v="2024-12-26T00:00:00"/>
    <x v="4"/>
    <s v="Cynthia Jenkins"/>
    <n v="28.28"/>
    <x v="6"/>
  </r>
  <r>
    <s v="TXN480"/>
    <s v="Printer Ink"/>
    <x v="3"/>
    <n v="6"/>
    <n v="12.06"/>
    <n v="72.36"/>
    <d v="2024-07-28T00:00:00"/>
    <x v="1"/>
    <s v="Walter Pena"/>
    <n v="72.36"/>
    <x v="1"/>
  </r>
  <r>
    <s v="TXN481"/>
    <s v="Stapler"/>
    <x v="1"/>
    <n v="6"/>
    <n v="7"/>
    <n v="42"/>
    <d v="2024-05-12T00:00:00"/>
    <x v="0"/>
    <s v="Rebecca Bell"/>
    <n v="42"/>
    <x v="10"/>
  </r>
  <r>
    <s v="TXN482"/>
    <s v="Printer"/>
    <x v="4"/>
    <n v="16"/>
    <n v="260.2"/>
    <n v="4163.2"/>
    <d v="2024-09-02T00:00:00"/>
    <x v="0"/>
    <s v="Walter Pena"/>
    <n v="4163.2"/>
    <x v="2"/>
  </r>
  <r>
    <s v="TXN483"/>
    <s v="Monitor"/>
    <x v="4"/>
    <n v="7"/>
    <n v="348.06"/>
    <n v="2436.42"/>
    <d v="2024-04-25T00:00:00"/>
    <x v="4"/>
    <s v="Todd James"/>
    <n v="2436.42"/>
    <x v="0"/>
  </r>
  <r>
    <s v="TXN484"/>
    <s v="Printer Ink"/>
    <x v="3"/>
    <n v="10"/>
    <n v="18.07"/>
    <n v="180.7"/>
    <d v="2024-04-20T00:00:00"/>
    <x v="0"/>
    <s v="Amy Warner"/>
    <n v="180.7"/>
    <x v="0"/>
  </r>
  <r>
    <s v="TXN485"/>
    <s v="Printer"/>
    <x v="4"/>
    <n v="16"/>
    <n v="200.15"/>
    <n v="3202.4"/>
    <d v="2024-10-13T00:00:00"/>
    <x v="3"/>
    <s v="Kayla Hanson"/>
    <n v="3202.4"/>
    <x v="8"/>
  </r>
  <r>
    <s v="TXN486"/>
    <s v="Laptop Bag"/>
    <x v="5"/>
    <n v="19"/>
    <n v="27.44"/>
    <n v="521.36"/>
    <d v="2024-06-16T00:00:00"/>
    <x v="4"/>
    <s v="Laura White"/>
    <n v="521.36"/>
    <x v="11"/>
  </r>
  <r>
    <s v="TXN487"/>
    <s v="Notepad"/>
    <x v="3"/>
    <n v="12"/>
    <n v="1.24"/>
    <n v="14.88"/>
    <d v="2024-08-27T00:00:00"/>
    <x v="3"/>
    <s v="Lisa Parks"/>
    <n v="14.88"/>
    <x v="7"/>
  </r>
  <r>
    <s v="TXN488"/>
    <s v="Laptop"/>
    <x v="4"/>
    <n v="18"/>
    <n v="969.94"/>
    <n v="17458.919999999998"/>
    <d v="2024-06-06T00:00:00"/>
    <x v="0"/>
    <s v="Walter Pena"/>
    <n v="17458.919999999998"/>
    <x v="11"/>
  </r>
  <r>
    <s v="TXN489"/>
    <s v="Laptop"/>
    <x v="4"/>
    <n v="15"/>
    <n v="836.99"/>
    <n v="12554.85"/>
    <d v="2024-12-18T00:00:00"/>
    <x v="1"/>
    <s v="Walter Pena"/>
    <n v="12554.85"/>
    <x v="6"/>
  </r>
  <r>
    <s v="TXN490"/>
    <s v="Printer Ink"/>
    <x v="3"/>
    <n v="9"/>
    <n v="13.57"/>
    <n v="122.13"/>
    <d v="2024-05-28T00:00:00"/>
    <x v="4"/>
    <s v="Kayla Hanson"/>
    <n v="122.13"/>
    <x v="10"/>
  </r>
  <r>
    <s v="TXN491"/>
    <s v="Laptop Bag"/>
    <x v="5"/>
    <n v="5"/>
    <n v="20.67"/>
    <n v="103.35"/>
    <d v="2024-04-18T00:00:00"/>
    <x v="4"/>
    <s v="Aaron Hopkins"/>
    <n v="103.35"/>
    <x v="0"/>
  </r>
  <r>
    <s v="TXN492"/>
    <s v="Laptop Bag"/>
    <x v="5"/>
    <n v="16"/>
    <n v="28.97"/>
    <n v="463.52"/>
    <d v="2024-11-09T00:00:00"/>
    <x v="3"/>
    <s v="Laura White"/>
    <n v="463.52"/>
    <x v="5"/>
  </r>
  <r>
    <s v="TXN493"/>
    <s v="Laptop Bag"/>
    <x v="5"/>
    <n v="12"/>
    <n v="23.55"/>
    <n v="282.60000000000002"/>
    <d v="2024-05-19T00:00:00"/>
    <x v="1"/>
    <s v="Amy Warner"/>
    <n v="282.60000000000002"/>
    <x v="10"/>
  </r>
  <r>
    <s v="TXN494"/>
    <s v="Printer Ink"/>
    <x v="3"/>
    <n v="4"/>
    <n v="15.67"/>
    <n v="62.68"/>
    <d v="2024-07-03T00:00:00"/>
    <x v="1"/>
    <s v="Todd James"/>
    <n v="62.68"/>
    <x v="1"/>
  </r>
  <r>
    <s v="TXN495"/>
    <s v="Monitor"/>
    <x v="4"/>
    <n v="4"/>
    <n v="310.33999999999997"/>
    <n v="1241.3599999999999"/>
    <d v="2024-01-09T00:00:00"/>
    <x v="4"/>
    <s v="Kayla Hanson"/>
    <n v="1241.3599999999999"/>
    <x v="3"/>
  </r>
  <r>
    <s v="TXN496"/>
    <s v="Whiteboard"/>
    <x v="0"/>
    <n v="19"/>
    <n v="104.12"/>
    <n v="1978.28"/>
    <d v="2024-08-20T00:00:00"/>
    <x v="4"/>
    <s v="Noah Long"/>
    <n v="1978.28"/>
    <x v="7"/>
  </r>
  <r>
    <s v="TXN497"/>
    <s v="Laptop"/>
    <x v="4"/>
    <n v="5"/>
    <n v="919.08"/>
    <n v="4595.3999999999996"/>
    <d v="2024-08-15T00:00:00"/>
    <x v="3"/>
    <s v="Walter Pena"/>
    <n v="4595.3999999999996"/>
    <x v="7"/>
  </r>
  <r>
    <s v="TXN498"/>
    <s v="Notepad"/>
    <x v="3"/>
    <n v="3"/>
    <n v="1.51"/>
    <n v="4.53"/>
    <d v="2024-05-12T00:00:00"/>
    <x v="4"/>
    <s v="Jessica Hodges"/>
    <n v="4.53"/>
    <x v="10"/>
  </r>
  <r>
    <s v="TXN499"/>
    <s v="Whiteboard"/>
    <x v="0"/>
    <n v="17"/>
    <n v="162.01"/>
    <n v="2754.17"/>
    <d v="2024-03-14T00:00:00"/>
    <x v="2"/>
    <s v="Rebecca Bell"/>
    <n v="2754.17"/>
    <x v="9"/>
  </r>
  <r>
    <s v="TXN500"/>
    <s v="Stapler"/>
    <x v="1"/>
    <n v="4"/>
    <n v="13.64"/>
    <n v="54.56"/>
    <d v="2024-03-02T00:00:00"/>
    <x v="0"/>
    <s v="Noah Long"/>
    <n v="54.56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7BE7B5-47AA-F54A-A715-48FDADBCAE66}" name="数据透视表1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1"/>
        <item x="2"/>
        <item x="3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7"/>
  </rowFields>
  <rowItems count="6">
    <i>
      <x v="4"/>
    </i>
    <i>
      <x v="3"/>
    </i>
    <i>
      <x v="2"/>
    </i>
    <i>
      <x v="1"/>
    </i>
    <i>
      <x/>
    </i>
    <i t="grand">
      <x/>
    </i>
  </rowItems>
  <colItems count="1">
    <i/>
  </colItems>
  <dataFields count="1">
    <dataField name="求和项:Spend" fld="9" baseField="0" baseItem="0" numFmtId="39"/>
  </dataFields>
  <formats count="3">
    <format dxfId="8">
      <pivotArea outline="0" collapsedLevelsAreSubtotals="1" fieldPosition="0"/>
    </format>
    <format dxfId="7">
      <pivotArea dataOnly="0" labelOnly="1" outline="0" axis="axisValues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A0DDC-D652-DA4A-BBD4-759A4532ED68}" name="数据透视表2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1">
    <pivotField showAll="0"/>
    <pivotField showAll="0"/>
    <pivotField axis="axisRow" showAll="0" sortType="descending">
      <items count="7">
        <item x="5"/>
        <item x="4"/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/>
    <pivotField showAll="0"/>
    <pivotField showAll="0"/>
    <pivotField dataField="1" showAll="0"/>
    <pivotField showAll="0"/>
  </pivotFields>
  <rowFields count="1">
    <field x="2"/>
  </rowFields>
  <rowItems count="7">
    <i>
      <x v="1"/>
    </i>
    <i>
      <x v="4"/>
    </i>
    <i>
      <x v="2"/>
    </i>
    <i>
      <x/>
    </i>
    <i>
      <x v="5"/>
    </i>
    <i>
      <x v="3"/>
    </i>
    <i t="grand">
      <x/>
    </i>
  </rowItems>
  <colItems count="1">
    <i/>
  </colItems>
  <dataFields count="1">
    <dataField name="求和项:Spend" fld="9" baseField="0" baseItem="0" numFmtId="17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7E51F-02A0-804A-A55E-84FAA83E9BC9}" name="数据透视表3" cacheId="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5">
  <location ref="A3:B1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axis="axisRow" numFmtId="183" showAll="0">
      <items count="13">
        <item x="3"/>
        <item x="4"/>
        <item x="9"/>
        <item x="0"/>
        <item x="10"/>
        <item x="11"/>
        <item x="1"/>
        <item x="7"/>
        <item x="2"/>
        <item x="8"/>
        <item x="5"/>
        <item x="6"/>
        <item t="default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求和项:Spend" fld="9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2DCEDA5-51E0-9346-A335-A6870064256F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ID" tableColumnId="1"/>
      <queryTableField id="2" name="ItemName" tableColumnId="2"/>
      <queryTableField id="3" name="Category" tableColumnId="3"/>
      <queryTableField id="4" name="Quantity" tableColumnId="4"/>
      <queryTableField id="5" name="UnitPrice" tableColumnId="5"/>
      <queryTableField id="6" name="TotalCost" tableColumnId="6"/>
      <queryTableField id="7" name="PurchaseDate" tableColumnId="7"/>
      <queryTableField id="8" name="Supplier" tableColumnId="8"/>
      <queryTableField id="9" name="Buyer" tableColumnId="9"/>
      <queryTableField id="10" name="Spend" tableColumnId="10"/>
      <queryTableField id="11" name="Month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19DBB-68C8-AC47-B443-3AB05DA7924C}" name="spend_analysis_dataset" displayName="spend_analysis_dataset" ref="A1:K501" tableType="queryTable" totalsRowShown="0">
  <autoFilter ref="A1:K501" xr:uid="{15A19DBB-68C8-AC47-B443-3AB05DA7924C}"/>
  <tableColumns count="11">
    <tableColumn id="1" xr3:uid="{B6BAF1DD-31B8-1545-9EB5-EEDFC9C35217}" uniqueName="1" name="TransactionID" queryTableFieldId="1" dataDxfId="15"/>
    <tableColumn id="2" xr3:uid="{CD725C69-F3B8-1A4D-B513-3E14FC7407B4}" uniqueName="2" name="ItemName" queryTableFieldId="2" dataDxfId="14"/>
    <tableColumn id="3" xr3:uid="{24668384-AEB3-624A-8A32-97EB1CC68EDC}" uniqueName="3" name="Category" queryTableFieldId="3" dataDxfId="13"/>
    <tableColumn id="4" xr3:uid="{5716C015-3985-D64B-B5CA-20F48B060F25}" uniqueName="4" name="Quantity" queryTableFieldId="4"/>
    <tableColumn id="5" xr3:uid="{17594B07-6DBA-C847-B8C7-026EA1B0C23F}" uniqueName="5" name="UnitPrice" queryTableFieldId="5"/>
    <tableColumn id="6" xr3:uid="{F08BF571-57EB-574F-8010-C7E2DBE1A774}" uniqueName="6" name="TotalCost" queryTableFieldId="6"/>
    <tableColumn id="7" xr3:uid="{8C1FFAB5-9036-204F-AF77-ECC5D180636E}" uniqueName="7" name="PurchaseDate" queryTableFieldId="7" dataDxfId="12"/>
    <tableColumn id="8" xr3:uid="{5907E46D-E85D-3842-96C2-91360AF62EC6}" uniqueName="8" name="Supplier" queryTableFieldId="8" dataDxfId="11"/>
    <tableColumn id="9" xr3:uid="{5E0EEA0D-EF46-0D40-8457-D9EFAB085BA2}" uniqueName="9" name="Buyer" queryTableFieldId="9" dataDxfId="10"/>
    <tableColumn id="10" xr3:uid="{ADD7B889-93FF-2644-A407-135762E6F913}" uniqueName="10" name="Spend" queryTableFieldId="10"/>
    <tableColumn id="11" xr3:uid="{8AD863A2-FA4C-6642-AFB9-99333FE004F5}" uniqueName="11" name="Month" queryTableFieldId="1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28F2-412D-AC4F-912C-3E63837D6CAF}">
  <dimension ref="A1:K501"/>
  <sheetViews>
    <sheetView topLeftCell="A2" workbookViewId="0"/>
  </sheetViews>
  <sheetFormatPr baseColWidth="10" defaultRowHeight="16"/>
  <cols>
    <col min="1" max="1" width="17" bestFit="1" customWidth="1"/>
    <col min="2" max="2" width="24.33203125" bestFit="1" customWidth="1"/>
    <col min="3" max="3" width="15.33203125" bestFit="1" customWidth="1"/>
    <col min="4" max="4" width="12.1640625" bestFit="1" customWidth="1"/>
    <col min="5" max="5" width="12.5" bestFit="1" customWidth="1"/>
    <col min="6" max="6" width="12.83203125" bestFit="1" customWidth="1"/>
    <col min="7" max="7" width="16.83203125" bestFit="1" customWidth="1"/>
    <col min="8" max="8" width="18.5" bestFit="1" customWidth="1"/>
    <col min="9" max="9" width="18.6640625" bestFit="1" customWidth="1"/>
    <col min="10" max="10" width="10.1640625" bestFit="1" customWidth="1"/>
    <col min="11" max="11" width="10.6640625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</row>
    <row r="2" spans="1:11">
      <c r="A2" s="1" t="s">
        <v>11</v>
      </c>
      <c r="B2" s="1" t="s">
        <v>12</v>
      </c>
      <c r="C2" s="1" t="s">
        <v>13</v>
      </c>
      <c r="D2">
        <v>10</v>
      </c>
      <c r="E2">
        <v>113.15</v>
      </c>
      <c r="F2">
        <v>1131.5</v>
      </c>
      <c r="G2" s="2">
        <v>45401</v>
      </c>
      <c r="H2" s="1" t="s">
        <v>14</v>
      </c>
      <c r="I2" s="1" t="s">
        <v>15</v>
      </c>
      <c r="J2">
        <v>1131.5</v>
      </c>
      <c r="K2" s="1">
        <v>45383</v>
      </c>
    </row>
    <row r="3" spans="1:11">
      <c r="A3" s="1" t="s">
        <v>16</v>
      </c>
      <c r="B3" s="1" t="s">
        <v>17</v>
      </c>
      <c r="C3" s="1" t="s">
        <v>18</v>
      </c>
      <c r="D3">
        <v>16</v>
      </c>
      <c r="E3">
        <v>12.62</v>
      </c>
      <c r="F3">
        <v>201.92</v>
      </c>
      <c r="G3" s="2">
        <v>45479</v>
      </c>
      <c r="H3" s="1" t="s">
        <v>19</v>
      </c>
      <c r="I3" s="1" t="s">
        <v>15</v>
      </c>
      <c r="J3">
        <v>201.92</v>
      </c>
      <c r="K3" s="1">
        <v>45474</v>
      </c>
    </row>
    <row r="4" spans="1:11">
      <c r="A4" s="1" t="s">
        <v>20</v>
      </c>
      <c r="B4" s="1" t="s">
        <v>21</v>
      </c>
      <c r="C4" s="1" t="s">
        <v>22</v>
      </c>
      <c r="D4">
        <v>1</v>
      </c>
      <c r="E4">
        <v>5649.34</v>
      </c>
      <c r="F4">
        <v>5649.34</v>
      </c>
      <c r="G4" s="2">
        <v>45545</v>
      </c>
      <c r="H4" s="1" t="s">
        <v>14</v>
      </c>
      <c r="I4" s="1" t="s">
        <v>15</v>
      </c>
      <c r="J4">
        <v>5649.34</v>
      </c>
      <c r="K4" s="1">
        <v>45536</v>
      </c>
    </row>
    <row r="5" spans="1:11">
      <c r="A5" s="1" t="s">
        <v>23</v>
      </c>
      <c r="B5" s="1" t="s">
        <v>24</v>
      </c>
      <c r="C5" s="1" t="s">
        <v>25</v>
      </c>
      <c r="D5">
        <v>13</v>
      </c>
      <c r="E5">
        <v>2.92</v>
      </c>
      <c r="F5">
        <v>37.96</v>
      </c>
      <c r="G5" s="2">
        <v>45312</v>
      </c>
      <c r="H5" s="1" t="s">
        <v>26</v>
      </c>
      <c r="I5" s="1" t="s">
        <v>27</v>
      </c>
      <c r="J5">
        <v>37.96</v>
      </c>
      <c r="K5" s="1">
        <v>45292</v>
      </c>
    </row>
    <row r="6" spans="1:11">
      <c r="A6" s="1" t="s">
        <v>28</v>
      </c>
      <c r="B6" s="1" t="s">
        <v>24</v>
      </c>
      <c r="C6" s="1" t="s">
        <v>25</v>
      </c>
      <c r="D6">
        <v>19</v>
      </c>
      <c r="E6">
        <v>1.39</v>
      </c>
      <c r="F6">
        <v>26.41</v>
      </c>
      <c r="G6" s="2">
        <v>45325</v>
      </c>
      <c r="H6" s="1" t="s">
        <v>14</v>
      </c>
      <c r="I6" s="1" t="s">
        <v>29</v>
      </c>
      <c r="J6">
        <v>26.41</v>
      </c>
      <c r="K6" s="1">
        <v>45323</v>
      </c>
    </row>
    <row r="7" spans="1:11">
      <c r="A7" s="1" t="s">
        <v>30</v>
      </c>
      <c r="B7" s="1" t="s">
        <v>31</v>
      </c>
      <c r="C7" s="1" t="s">
        <v>32</v>
      </c>
      <c r="D7">
        <v>19</v>
      </c>
      <c r="E7">
        <v>150.94</v>
      </c>
      <c r="F7">
        <v>2867.86</v>
      </c>
      <c r="G7" s="2">
        <v>45624</v>
      </c>
      <c r="H7" s="1" t="s">
        <v>26</v>
      </c>
      <c r="I7" s="1" t="s">
        <v>33</v>
      </c>
      <c r="J7">
        <v>2867.86</v>
      </c>
      <c r="K7" s="1">
        <v>45597</v>
      </c>
    </row>
    <row r="8" spans="1:11">
      <c r="A8" s="1" t="s">
        <v>34</v>
      </c>
      <c r="B8" s="1" t="s">
        <v>24</v>
      </c>
      <c r="C8" s="1" t="s">
        <v>25</v>
      </c>
      <c r="D8">
        <v>8</v>
      </c>
      <c r="E8">
        <v>2.73</v>
      </c>
      <c r="F8">
        <v>21.84</v>
      </c>
      <c r="G8" s="2">
        <v>45341</v>
      </c>
      <c r="H8" s="1" t="s">
        <v>35</v>
      </c>
      <c r="I8" s="1" t="s">
        <v>36</v>
      </c>
      <c r="J8">
        <v>21.84</v>
      </c>
      <c r="K8" s="1">
        <v>45323</v>
      </c>
    </row>
    <row r="9" spans="1:11">
      <c r="A9" s="1" t="s">
        <v>37</v>
      </c>
      <c r="B9" s="1" t="s">
        <v>24</v>
      </c>
      <c r="C9" s="1" t="s">
        <v>25</v>
      </c>
      <c r="D9">
        <v>4</v>
      </c>
      <c r="E9">
        <v>2.42</v>
      </c>
      <c r="F9">
        <v>9.68</v>
      </c>
      <c r="G9" s="2">
        <v>45546</v>
      </c>
      <c r="H9" s="1" t="s">
        <v>26</v>
      </c>
      <c r="I9" s="1" t="s">
        <v>38</v>
      </c>
      <c r="J9">
        <v>9.68</v>
      </c>
      <c r="K9" s="1">
        <v>45536</v>
      </c>
    </row>
    <row r="10" spans="1:11">
      <c r="A10" s="1" t="s">
        <v>39</v>
      </c>
      <c r="B10" s="1" t="s">
        <v>40</v>
      </c>
      <c r="C10" s="1" t="s">
        <v>25</v>
      </c>
      <c r="D10">
        <v>13</v>
      </c>
      <c r="E10">
        <v>11.89</v>
      </c>
      <c r="F10">
        <v>154.57</v>
      </c>
      <c r="G10" s="2">
        <v>45394</v>
      </c>
      <c r="H10" s="1" t="s">
        <v>26</v>
      </c>
      <c r="I10" s="1" t="s">
        <v>41</v>
      </c>
      <c r="J10">
        <v>154.57</v>
      </c>
      <c r="K10" s="1">
        <v>45383</v>
      </c>
    </row>
    <row r="11" spans="1:11">
      <c r="A11" s="1" t="s">
        <v>42</v>
      </c>
      <c r="B11" s="1" t="s">
        <v>43</v>
      </c>
      <c r="C11" s="1" t="s">
        <v>13</v>
      </c>
      <c r="D11">
        <v>19</v>
      </c>
      <c r="E11">
        <v>100.82</v>
      </c>
      <c r="F11">
        <v>1915.58</v>
      </c>
      <c r="G11" s="2">
        <v>45640</v>
      </c>
      <c r="H11" s="1" t="s">
        <v>26</v>
      </c>
      <c r="I11" s="1" t="s">
        <v>38</v>
      </c>
      <c r="J11">
        <v>1915.58</v>
      </c>
      <c r="K11" s="1">
        <v>45627</v>
      </c>
    </row>
    <row r="12" spans="1:11">
      <c r="A12" s="1" t="s">
        <v>44</v>
      </c>
      <c r="B12" s="1" t="s">
        <v>21</v>
      </c>
      <c r="C12" s="1" t="s">
        <v>22</v>
      </c>
      <c r="D12">
        <v>1</v>
      </c>
      <c r="E12">
        <v>8183.91</v>
      </c>
      <c r="F12">
        <v>8183.91</v>
      </c>
      <c r="G12" s="2">
        <v>45304</v>
      </c>
      <c r="H12" s="1" t="s">
        <v>45</v>
      </c>
      <c r="I12" s="1" t="s">
        <v>38</v>
      </c>
      <c r="J12">
        <v>8183.91</v>
      </c>
      <c r="K12" s="1">
        <v>45292</v>
      </c>
    </row>
    <row r="13" spans="1:11">
      <c r="A13" s="1" t="s">
        <v>46</v>
      </c>
      <c r="B13" s="1" t="s">
        <v>24</v>
      </c>
      <c r="C13" s="1" t="s">
        <v>25</v>
      </c>
      <c r="D13">
        <v>14</v>
      </c>
      <c r="E13">
        <v>2.92</v>
      </c>
      <c r="F13">
        <v>40.880000000000003</v>
      </c>
      <c r="G13" s="2">
        <v>45505</v>
      </c>
      <c r="H13" s="1" t="s">
        <v>26</v>
      </c>
      <c r="I13" s="1" t="s">
        <v>47</v>
      </c>
      <c r="J13">
        <v>40.880000000000003</v>
      </c>
      <c r="K13" s="1">
        <v>45505</v>
      </c>
    </row>
    <row r="14" spans="1:11">
      <c r="A14" s="1" t="s">
        <v>48</v>
      </c>
      <c r="B14" s="1" t="s">
        <v>17</v>
      </c>
      <c r="C14" s="1" t="s">
        <v>18</v>
      </c>
      <c r="D14">
        <v>15</v>
      </c>
      <c r="E14">
        <v>8.4</v>
      </c>
      <c r="F14">
        <v>126</v>
      </c>
      <c r="G14" s="2">
        <v>45308</v>
      </c>
      <c r="H14" s="1" t="s">
        <v>26</v>
      </c>
      <c r="I14" s="1" t="s">
        <v>49</v>
      </c>
      <c r="J14">
        <v>126</v>
      </c>
      <c r="K14" s="1">
        <v>45292</v>
      </c>
    </row>
    <row r="15" spans="1:11">
      <c r="A15" s="1" t="s">
        <v>50</v>
      </c>
      <c r="B15" s="1" t="s">
        <v>43</v>
      </c>
      <c r="C15" s="1" t="s">
        <v>13</v>
      </c>
      <c r="D15">
        <v>20</v>
      </c>
      <c r="E15">
        <v>111.86</v>
      </c>
      <c r="F15">
        <v>2237.1999999999998</v>
      </c>
      <c r="G15" s="2">
        <v>45394</v>
      </c>
      <c r="H15" s="1" t="s">
        <v>26</v>
      </c>
      <c r="I15" s="1" t="s">
        <v>51</v>
      </c>
      <c r="J15">
        <v>2237.1999999999998</v>
      </c>
      <c r="K15" s="1">
        <v>45383</v>
      </c>
    </row>
    <row r="16" spans="1:11">
      <c r="A16" s="1" t="s">
        <v>52</v>
      </c>
      <c r="B16" s="1" t="s">
        <v>24</v>
      </c>
      <c r="C16" s="1" t="s">
        <v>25</v>
      </c>
      <c r="D16">
        <v>17</v>
      </c>
      <c r="E16">
        <v>1.41</v>
      </c>
      <c r="F16">
        <v>23.97</v>
      </c>
      <c r="G16" s="2">
        <v>45656</v>
      </c>
      <c r="H16" s="1" t="s">
        <v>45</v>
      </c>
      <c r="I16" s="1" t="s">
        <v>33</v>
      </c>
      <c r="J16">
        <v>23.97</v>
      </c>
      <c r="K16" s="1">
        <v>45627</v>
      </c>
    </row>
    <row r="17" spans="1:11">
      <c r="A17" s="1" t="s">
        <v>53</v>
      </c>
      <c r="B17" s="1" t="s">
        <v>54</v>
      </c>
      <c r="C17" s="1" t="s">
        <v>32</v>
      </c>
      <c r="D17">
        <v>6</v>
      </c>
      <c r="E17">
        <v>263.79000000000002</v>
      </c>
      <c r="F17">
        <v>1582.74</v>
      </c>
      <c r="G17" s="2">
        <v>45602</v>
      </c>
      <c r="H17" s="1" t="s">
        <v>45</v>
      </c>
      <c r="I17" s="1" t="s">
        <v>47</v>
      </c>
      <c r="J17">
        <v>1582.74</v>
      </c>
      <c r="K17" s="1">
        <v>45597</v>
      </c>
    </row>
    <row r="18" spans="1:11">
      <c r="A18" s="1" t="s">
        <v>55</v>
      </c>
      <c r="B18" s="1" t="s">
        <v>56</v>
      </c>
      <c r="C18" s="1" t="s">
        <v>57</v>
      </c>
      <c r="D18">
        <v>2</v>
      </c>
      <c r="E18">
        <v>32</v>
      </c>
      <c r="F18">
        <v>64</v>
      </c>
      <c r="G18" s="2">
        <v>45514</v>
      </c>
      <c r="H18" s="1" t="s">
        <v>26</v>
      </c>
      <c r="I18" s="1" t="s">
        <v>58</v>
      </c>
      <c r="J18">
        <v>64</v>
      </c>
      <c r="K18" s="1">
        <v>45505</v>
      </c>
    </row>
    <row r="19" spans="1:11">
      <c r="A19" s="1" t="s">
        <v>59</v>
      </c>
      <c r="B19" s="1" t="s">
        <v>56</v>
      </c>
      <c r="C19" s="1" t="s">
        <v>57</v>
      </c>
      <c r="D19">
        <v>16</v>
      </c>
      <c r="E19">
        <v>42.02</v>
      </c>
      <c r="F19">
        <v>672.32</v>
      </c>
      <c r="G19" s="2">
        <v>45537</v>
      </c>
      <c r="H19" s="1" t="s">
        <v>26</v>
      </c>
      <c r="I19" s="1" t="s">
        <v>60</v>
      </c>
      <c r="J19">
        <v>672.32</v>
      </c>
      <c r="K19" s="1">
        <v>45536</v>
      </c>
    </row>
    <row r="20" spans="1:11">
      <c r="A20" s="1" t="s">
        <v>61</v>
      </c>
      <c r="B20" s="1" t="s">
        <v>62</v>
      </c>
      <c r="C20" s="1" t="s">
        <v>32</v>
      </c>
      <c r="D20">
        <v>19</v>
      </c>
      <c r="E20">
        <v>815.19</v>
      </c>
      <c r="F20">
        <v>15488.61</v>
      </c>
      <c r="G20" s="2">
        <v>45587</v>
      </c>
      <c r="H20" s="1" t="s">
        <v>14</v>
      </c>
      <c r="I20" s="1" t="s">
        <v>49</v>
      </c>
      <c r="J20">
        <v>15488.61</v>
      </c>
      <c r="K20" s="1">
        <v>45566</v>
      </c>
    </row>
    <row r="21" spans="1:11">
      <c r="A21" s="1" t="s">
        <v>63</v>
      </c>
      <c r="B21" s="1" t="s">
        <v>54</v>
      </c>
      <c r="C21" s="1" t="s">
        <v>32</v>
      </c>
      <c r="D21">
        <v>9</v>
      </c>
      <c r="E21">
        <v>336.61</v>
      </c>
      <c r="F21">
        <v>3029.49</v>
      </c>
      <c r="G21" s="2">
        <v>45354</v>
      </c>
      <c r="H21" s="1" t="s">
        <v>45</v>
      </c>
      <c r="I21" s="1" t="s">
        <v>49</v>
      </c>
      <c r="J21">
        <v>3029.49</v>
      </c>
      <c r="K21" s="1">
        <v>45352</v>
      </c>
    </row>
    <row r="22" spans="1:11">
      <c r="A22" s="1" t="s">
        <v>64</v>
      </c>
      <c r="B22" s="1" t="s">
        <v>17</v>
      </c>
      <c r="C22" s="1" t="s">
        <v>18</v>
      </c>
      <c r="D22">
        <v>3</v>
      </c>
      <c r="E22">
        <v>13.02</v>
      </c>
      <c r="F22">
        <v>39.06</v>
      </c>
      <c r="G22" s="2">
        <v>45438</v>
      </c>
      <c r="H22" s="1" t="s">
        <v>19</v>
      </c>
      <c r="I22" s="1" t="s">
        <v>51</v>
      </c>
      <c r="J22">
        <v>39.06</v>
      </c>
      <c r="K22" s="1">
        <v>45413</v>
      </c>
    </row>
    <row r="23" spans="1:11">
      <c r="A23" s="1" t="s">
        <v>65</v>
      </c>
      <c r="B23" s="1" t="s">
        <v>31</v>
      </c>
      <c r="C23" s="1" t="s">
        <v>32</v>
      </c>
      <c r="D23">
        <v>13</v>
      </c>
      <c r="E23">
        <v>207.33</v>
      </c>
      <c r="F23">
        <v>2695.29</v>
      </c>
      <c r="G23" s="2">
        <v>45338</v>
      </c>
      <c r="H23" s="1" t="s">
        <v>26</v>
      </c>
      <c r="I23" s="1" t="s">
        <v>66</v>
      </c>
      <c r="J23">
        <v>2695.29</v>
      </c>
      <c r="K23" s="1">
        <v>45323</v>
      </c>
    </row>
    <row r="24" spans="1:11">
      <c r="A24" s="1" t="s">
        <v>67</v>
      </c>
      <c r="B24" s="1" t="s">
        <v>43</v>
      </c>
      <c r="C24" s="1" t="s">
        <v>13</v>
      </c>
      <c r="D24">
        <v>16</v>
      </c>
      <c r="E24">
        <v>150.6</v>
      </c>
      <c r="F24">
        <v>2409.6</v>
      </c>
      <c r="G24" s="2">
        <v>45534</v>
      </c>
      <c r="H24" s="1" t="s">
        <v>26</v>
      </c>
      <c r="I24" s="1" t="s">
        <v>51</v>
      </c>
      <c r="J24">
        <v>2409.6</v>
      </c>
      <c r="K24" s="1">
        <v>45505</v>
      </c>
    </row>
    <row r="25" spans="1:11">
      <c r="A25" s="1" t="s">
        <v>68</v>
      </c>
      <c r="B25" s="1" t="s">
        <v>43</v>
      </c>
      <c r="C25" s="1" t="s">
        <v>13</v>
      </c>
      <c r="D25">
        <v>16</v>
      </c>
      <c r="E25">
        <v>139.65</v>
      </c>
      <c r="F25">
        <v>2234.4</v>
      </c>
      <c r="G25" s="2">
        <v>45575</v>
      </c>
      <c r="H25" s="1" t="s">
        <v>45</v>
      </c>
      <c r="I25" s="1" t="s">
        <v>60</v>
      </c>
      <c r="J25">
        <v>2234.4</v>
      </c>
      <c r="K25" s="1">
        <v>45566</v>
      </c>
    </row>
    <row r="26" spans="1:11">
      <c r="A26" s="1" t="s">
        <v>69</v>
      </c>
      <c r="B26" s="1" t="s">
        <v>24</v>
      </c>
      <c r="C26" s="1" t="s">
        <v>25</v>
      </c>
      <c r="D26">
        <v>18</v>
      </c>
      <c r="E26">
        <v>1.1499999999999999</v>
      </c>
      <c r="F26">
        <v>20.7</v>
      </c>
      <c r="G26" s="2">
        <v>45433</v>
      </c>
      <c r="H26" s="1" t="s">
        <v>45</v>
      </c>
      <c r="I26" s="1" t="s">
        <v>60</v>
      </c>
      <c r="J26">
        <v>20.7</v>
      </c>
      <c r="K26" s="1">
        <v>45413</v>
      </c>
    </row>
    <row r="27" spans="1:11">
      <c r="A27" s="1" t="s">
        <v>70</v>
      </c>
      <c r="B27" s="1" t="s">
        <v>12</v>
      </c>
      <c r="C27" s="1" t="s">
        <v>13</v>
      </c>
      <c r="D27">
        <v>15</v>
      </c>
      <c r="E27">
        <v>106.14</v>
      </c>
      <c r="F27">
        <v>1592.1</v>
      </c>
      <c r="G27" s="2">
        <v>45529</v>
      </c>
      <c r="H27" s="1" t="s">
        <v>35</v>
      </c>
      <c r="I27" s="1" t="s">
        <v>71</v>
      </c>
      <c r="J27">
        <v>1592.1</v>
      </c>
      <c r="K27" s="1">
        <v>45505</v>
      </c>
    </row>
    <row r="28" spans="1:11">
      <c r="A28" s="1" t="s">
        <v>72</v>
      </c>
      <c r="B28" s="1" t="s">
        <v>21</v>
      </c>
      <c r="C28" s="1" t="s">
        <v>22</v>
      </c>
      <c r="D28">
        <v>1</v>
      </c>
      <c r="E28">
        <v>5099.8599999999997</v>
      </c>
      <c r="F28">
        <v>5099.8599999999997</v>
      </c>
      <c r="G28" s="2">
        <v>45301</v>
      </c>
      <c r="H28" s="1" t="s">
        <v>26</v>
      </c>
      <c r="I28" s="1" t="s">
        <v>33</v>
      </c>
      <c r="J28">
        <v>5099.8599999999997</v>
      </c>
      <c r="K28" s="1">
        <v>45292</v>
      </c>
    </row>
    <row r="29" spans="1:11">
      <c r="A29" s="1" t="s">
        <v>73</v>
      </c>
      <c r="B29" s="1" t="s">
        <v>12</v>
      </c>
      <c r="C29" s="1" t="s">
        <v>13</v>
      </c>
      <c r="D29">
        <v>6</v>
      </c>
      <c r="E29">
        <v>187.26</v>
      </c>
      <c r="F29">
        <v>1123.56</v>
      </c>
      <c r="G29" s="2">
        <v>45514</v>
      </c>
      <c r="H29" s="1" t="s">
        <v>14</v>
      </c>
      <c r="I29" s="1" t="s">
        <v>51</v>
      </c>
      <c r="J29">
        <v>1123.56</v>
      </c>
      <c r="K29" s="1">
        <v>45505</v>
      </c>
    </row>
    <row r="30" spans="1:11">
      <c r="A30" s="1" t="s">
        <v>74</v>
      </c>
      <c r="B30" s="1" t="s">
        <v>56</v>
      </c>
      <c r="C30" s="1" t="s">
        <v>57</v>
      </c>
      <c r="D30">
        <v>5</v>
      </c>
      <c r="E30">
        <v>30.33</v>
      </c>
      <c r="F30">
        <v>151.65</v>
      </c>
      <c r="G30" s="2">
        <v>45606</v>
      </c>
      <c r="H30" s="1" t="s">
        <v>35</v>
      </c>
      <c r="I30" s="1" t="s">
        <v>33</v>
      </c>
      <c r="J30">
        <v>151.65</v>
      </c>
      <c r="K30" s="1">
        <v>45597</v>
      </c>
    </row>
    <row r="31" spans="1:11">
      <c r="A31" s="1" t="s">
        <v>75</v>
      </c>
      <c r="B31" s="1" t="s">
        <v>31</v>
      </c>
      <c r="C31" s="1" t="s">
        <v>32</v>
      </c>
      <c r="D31">
        <v>4</v>
      </c>
      <c r="E31">
        <v>232.03</v>
      </c>
      <c r="F31">
        <v>928.12</v>
      </c>
      <c r="G31" s="2">
        <v>45458</v>
      </c>
      <c r="H31" s="1" t="s">
        <v>35</v>
      </c>
      <c r="I31" s="1" t="s">
        <v>38</v>
      </c>
      <c r="J31">
        <v>928.12</v>
      </c>
      <c r="K31" s="1">
        <v>45444</v>
      </c>
    </row>
    <row r="32" spans="1:11">
      <c r="A32" s="1" t="s">
        <v>76</v>
      </c>
      <c r="B32" s="1" t="s">
        <v>62</v>
      </c>
      <c r="C32" s="1" t="s">
        <v>32</v>
      </c>
      <c r="D32">
        <v>16</v>
      </c>
      <c r="E32">
        <v>980.67</v>
      </c>
      <c r="F32">
        <v>15690.72</v>
      </c>
      <c r="G32" s="2">
        <v>45425</v>
      </c>
      <c r="H32" s="1" t="s">
        <v>45</v>
      </c>
      <c r="I32" s="1" t="s">
        <v>27</v>
      </c>
      <c r="J32">
        <v>15690.72</v>
      </c>
      <c r="K32" s="1">
        <v>45413</v>
      </c>
    </row>
    <row r="33" spans="1:11">
      <c r="A33" s="1" t="s">
        <v>77</v>
      </c>
      <c r="B33" s="1" t="s">
        <v>21</v>
      </c>
      <c r="C33" s="1" t="s">
        <v>22</v>
      </c>
      <c r="D33">
        <v>1</v>
      </c>
      <c r="E33">
        <v>5760.09</v>
      </c>
      <c r="F33">
        <v>5760.09</v>
      </c>
      <c r="G33" s="2">
        <v>45299</v>
      </c>
      <c r="H33" s="1" t="s">
        <v>14</v>
      </c>
      <c r="I33" s="1" t="s">
        <v>38</v>
      </c>
      <c r="J33">
        <v>5760.09</v>
      </c>
      <c r="K33" s="1">
        <v>45292</v>
      </c>
    </row>
    <row r="34" spans="1:11">
      <c r="A34" s="1" t="s">
        <v>78</v>
      </c>
      <c r="B34" s="1" t="s">
        <v>54</v>
      </c>
      <c r="C34" s="1" t="s">
        <v>32</v>
      </c>
      <c r="D34">
        <v>18</v>
      </c>
      <c r="E34">
        <v>296.04000000000002</v>
      </c>
      <c r="F34">
        <v>5328.72</v>
      </c>
      <c r="G34" s="2">
        <v>45305</v>
      </c>
      <c r="H34" s="1" t="s">
        <v>14</v>
      </c>
      <c r="I34" s="1" t="s">
        <v>41</v>
      </c>
      <c r="J34">
        <v>5328.72</v>
      </c>
      <c r="K34" s="1">
        <v>45292</v>
      </c>
    </row>
    <row r="35" spans="1:11">
      <c r="A35" s="1" t="s">
        <v>79</v>
      </c>
      <c r="B35" s="1" t="s">
        <v>12</v>
      </c>
      <c r="C35" s="1" t="s">
        <v>13</v>
      </c>
      <c r="D35">
        <v>3</v>
      </c>
      <c r="E35">
        <v>106.75</v>
      </c>
      <c r="F35">
        <v>320.25</v>
      </c>
      <c r="G35" s="2">
        <v>45402</v>
      </c>
      <c r="H35" s="1" t="s">
        <v>19</v>
      </c>
      <c r="I35" s="1" t="s">
        <v>51</v>
      </c>
      <c r="J35">
        <v>320.25</v>
      </c>
      <c r="K35" s="1">
        <v>45383</v>
      </c>
    </row>
    <row r="36" spans="1:11">
      <c r="A36" s="1" t="s">
        <v>80</v>
      </c>
      <c r="B36" s="1" t="s">
        <v>21</v>
      </c>
      <c r="C36" s="1" t="s">
        <v>22</v>
      </c>
      <c r="D36">
        <v>1</v>
      </c>
      <c r="E36">
        <v>5563.23</v>
      </c>
      <c r="F36">
        <v>5563.23</v>
      </c>
      <c r="G36" s="2">
        <v>45591</v>
      </c>
      <c r="H36" s="1" t="s">
        <v>14</v>
      </c>
      <c r="I36" s="1" t="s">
        <v>81</v>
      </c>
      <c r="J36">
        <v>5563.23</v>
      </c>
      <c r="K36" s="1">
        <v>45566</v>
      </c>
    </row>
    <row r="37" spans="1:11">
      <c r="A37" s="1" t="s">
        <v>82</v>
      </c>
      <c r="B37" s="1" t="s">
        <v>24</v>
      </c>
      <c r="C37" s="1" t="s">
        <v>25</v>
      </c>
      <c r="D37">
        <v>13</v>
      </c>
      <c r="E37">
        <v>2.62</v>
      </c>
      <c r="F37">
        <v>34.06</v>
      </c>
      <c r="G37" s="2">
        <v>45584</v>
      </c>
      <c r="H37" s="1" t="s">
        <v>35</v>
      </c>
      <c r="I37" s="1" t="s">
        <v>33</v>
      </c>
      <c r="J37">
        <v>34.06</v>
      </c>
      <c r="K37" s="1">
        <v>45566</v>
      </c>
    </row>
    <row r="38" spans="1:11">
      <c r="A38" s="1" t="s">
        <v>83</v>
      </c>
      <c r="B38" s="1" t="s">
        <v>40</v>
      </c>
      <c r="C38" s="1" t="s">
        <v>25</v>
      </c>
      <c r="D38">
        <v>8</v>
      </c>
      <c r="E38">
        <v>12.63</v>
      </c>
      <c r="F38">
        <v>101.04</v>
      </c>
      <c r="G38" s="2">
        <v>45546</v>
      </c>
      <c r="H38" s="1" t="s">
        <v>35</v>
      </c>
      <c r="I38" s="1" t="s">
        <v>71</v>
      </c>
      <c r="J38">
        <v>101.04</v>
      </c>
      <c r="K38" s="1">
        <v>45536</v>
      </c>
    </row>
    <row r="39" spans="1:11">
      <c r="A39" s="1" t="s">
        <v>84</v>
      </c>
      <c r="B39" s="1" t="s">
        <v>43</v>
      </c>
      <c r="C39" s="1" t="s">
        <v>13</v>
      </c>
      <c r="D39">
        <v>2</v>
      </c>
      <c r="E39">
        <v>124.14</v>
      </c>
      <c r="F39">
        <v>248.28</v>
      </c>
      <c r="G39" s="2">
        <v>45420</v>
      </c>
      <c r="H39" s="1" t="s">
        <v>26</v>
      </c>
      <c r="I39" s="1" t="s">
        <v>85</v>
      </c>
      <c r="J39">
        <v>248.28</v>
      </c>
      <c r="K39" s="1">
        <v>45413</v>
      </c>
    </row>
    <row r="40" spans="1:11">
      <c r="A40" s="1" t="s">
        <v>86</v>
      </c>
      <c r="B40" s="1" t="s">
        <v>62</v>
      </c>
      <c r="C40" s="1" t="s">
        <v>32</v>
      </c>
      <c r="D40">
        <v>4</v>
      </c>
      <c r="E40">
        <v>989.93</v>
      </c>
      <c r="F40">
        <v>3959.72</v>
      </c>
      <c r="G40" s="2">
        <v>45571</v>
      </c>
      <c r="H40" s="1" t="s">
        <v>26</v>
      </c>
      <c r="I40" s="1" t="s">
        <v>87</v>
      </c>
      <c r="J40">
        <v>3959.72</v>
      </c>
      <c r="K40" s="1">
        <v>45566</v>
      </c>
    </row>
    <row r="41" spans="1:11">
      <c r="A41" s="1" t="s">
        <v>88</v>
      </c>
      <c r="B41" s="1" t="s">
        <v>31</v>
      </c>
      <c r="C41" s="1" t="s">
        <v>32</v>
      </c>
      <c r="D41">
        <v>3</v>
      </c>
      <c r="E41">
        <v>170.05</v>
      </c>
      <c r="F41">
        <v>510.15</v>
      </c>
      <c r="G41" s="2">
        <v>45537</v>
      </c>
      <c r="H41" s="1" t="s">
        <v>45</v>
      </c>
      <c r="I41" s="1" t="s">
        <v>71</v>
      </c>
      <c r="J41">
        <v>510.15</v>
      </c>
      <c r="K41" s="1">
        <v>45536</v>
      </c>
    </row>
    <row r="42" spans="1:11">
      <c r="A42" s="1" t="s">
        <v>89</v>
      </c>
      <c r="B42" s="1" t="s">
        <v>40</v>
      </c>
      <c r="C42" s="1" t="s">
        <v>25</v>
      </c>
      <c r="D42">
        <v>8</v>
      </c>
      <c r="E42">
        <v>13.86</v>
      </c>
      <c r="F42">
        <v>110.88</v>
      </c>
      <c r="G42" s="2">
        <v>45456</v>
      </c>
      <c r="H42" s="1" t="s">
        <v>35</v>
      </c>
      <c r="I42" s="1" t="s">
        <v>51</v>
      </c>
      <c r="J42">
        <v>110.88</v>
      </c>
      <c r="K42" s="1">
        <v>45444</v>
      </c>
    </row>
    <row r="43" spans="1:11">
      <c r="A43" s="1" t="s">
        <v>90</v>
      </c>
      <c r="B43" s="1" t="s">
        <v>43</v>
      </c>
      <c r="C43" s="1" t="s">
        <v>13</v>
      </c>
      <c r="D43">
        <v>3</v>
      </c>
      <c r="E43">
        <v>108.27</v>
      </c>
      <c r="F43">
        <v>324.81</v>
      </c>
      <c r="G43" s="2">
        <v>45529</v>
      </c>
      <c r="H43" s="1" t="s">
        <v>26</v>
      </c>
      <c r="I43" s="1" t="s">
        <v>66</v>
      </c>
      <c r="J43">
        <v>324.81</v>
      </c>
      <c r="K43" s="1">
        <v>45505</v>
      </c>
    </row>
    <row r="44" spans="1:11">
      <c r="A44" s="1" t="s">
        <v>91</v>
      </c>
      <c r="B44" s="1" t="s">
        <v>62</v>
      </c>
      <c r="C44" s="1" t="s">
        <v>32</v>
      </c>
      <c r="D44">
        <v>9</v>
      </c>
      <c r="E44">
        <v>832.13</v>
      </c>
      <c r="F44">
        <v>7489.17</v>
      </c>
      <c r="G44" s="2">
        <v>45409</v>
      </c>
      <c r="H44" s="1" t="s">
        <v>14</v>
      </c>
      <c r="I44" s="1" t="s">
        <v>66</v>
      </c>
      <c r="J44">
        <v>7489.17</v>
      </c>
      <c r="K44" s="1">
        <v>45383</v>
      </c>
    </row>
    <row r="45" spans="1:11">
      <c r="A45" s="1" t="s">
        <v>92</v>
      </c>
      <c r="B45" s="1" t="s">
        <v>17</v>
      </c>
      <c r="C45" s="1" t="s">
        <v>18</v>
      </c>
      <c r="D45">
        <v>16</v>
      </c>
      <c r="E45">
        <v>13.07</v>
      </c>
      <c r="F45">
        <v>209.12</v>
      </c>
      <c r="G45" s="2">
        <v>45294</v>
      </c>
      <c r="H45" s="1" t="s">
        <v>14</v>
      </c>
      <c r="I45" s="1" t="s">
        <v>49</v>
      </c>
      <c r="J45">
        <v>209.12</v>
      </c>
      <c r="K45" s="1">
        <v>45292</v>
      </c>
    </row>
    <row r="46" spans="1:11">
      <c r="A46" s="1" t="s">
        <v>93</v>
      </c>
      <c r="B46" s="1" t="s">
        <v>62</v>
      </c>
      <c r="C46" s="1" t="s">
        <v>32</v>
      </c>
      <c r="D46">
        <v>12</v>
      </c>
      <c r="E46">
        <v>835.25</v>
      </c>
      <c r="F46">
        <v>10023</v>
      </c>
      <c r="G46" s="2">
        <v>45509</v>
      </c>
      <c r="H46" s="1" t="s">
        <v>45</v>
      </c>
      <c r="I46" s="1" t="s">
        <v>81</v>
      </c>
      <c r="J46">
        <v>10023</v>
      </c>
      <c r="K46" s="1">
        <v>45505</v>
      </c>
    </row>
    <row r="47" spans="1:11">
      <c r="A47" s="1" t="s">
        <v>94</v>
      </c>
      <c r="B47" s="1" t="s">
        <v>17</v>
      </c>
      <c r="C47" s="1" t="s">
        <v>18</v>
      </c>
      <c r="D47">
        <v>11</v>
      </c>
      <c r="E47">
        <v>14.43</v>
      </c>
      <c r="F47">
        <v>158.72999999999999</v>
      </c>
      <c r="G47" s="2">
        <v>45392</v>
      </c>
      <c r="H47" s="1" t="s">
        <v>19</v>
      </c>
      <c r="I47" s="1" t="s">
        <v>33</v>
      </c>
      <c r="J47">
        <v>158.72999999999999</v>
      </c>
      <c r="K47" s="1">
        <v>45383</v>
      </c>
    </row>
    <row r="48" spans="1:11">
      <c r="A48" s="1" t="s">
        <v>95</v>
      </c>
      <c r="B48" s="1" t="s">
        <v>54</v>
      </c>
      <c r="C48" s="1" t="s">
        <v>32</v>
      </c>
      <c r="D48">
        <v>20</v>
      </c>
      <c r="E48">
        <v>227.87</v>
      </c>
      <c r="F48">
        <v>4557.3999999999996</v>
      </c>
      <c r="G48" s="2">
        <v>45413</v>
      </c>
      <c r="H48" s="1" t="s">
        <v>26</v>
      </c>
      <c r="I48" s="1" t="s">
        <v>96</v>
      </c>
      <c r="J48">
        <v>4557.3999999999996</v>
      </c>
      <c r="K48" s="1">
        <v>45413</v>
      </c>
    </row>
    <row r="49" spans="1:11">
      <c r="A49" s="1" t="s">
        <v>97</v>
      </c>
      <c r="B49" s="1" t="s">
        <v>24</v>
      </c>
      <c r="C49" s="1" t="s">
        <v>25</v>
      </c>
      <c r="D49">
        <v>15</v>
      </c>
      <c r="E49">
        <v>2.36</v>
      </c>
      <c r="F49">
        <v>35.4</v>
      </c>
      <c r="G49" s="2">
        <v>45307</v>
      </c>
      <c r="H49" s="1" t="s">
        <v>45</v>
      </c>
      <c r="I49" s="1" t="s">
        <v>98</v>
      </c>
      <c r="J49">
        <v>35.4</v>
      </c>
      <c r="K49" s="1">
        <v>45292</v>
      </c>
    </row>
    <row r="50" spans="1:11">
      <c r="A50" s="1" t="s">
        <v>99</v>
      </c>
      <c r="B50" s="1" t="s">
        <v>17</v>
      </c>
      <c r="C50" s="1" t="s">
        <v>18</v>
      </c>
      <c r="D50">
        <v>11</v>
      </c>
      <c r="E50">
        <v>6.42</v>
      </c>
      <c r="F50">
        <v>70.62</v>
      </c>
      <c r="G50" s="2">
        <v>45505</v>
      </c>
      <c r="H50" s="1" t="s">
        <v>35</v>
      </c>
      <c r="I50" s="1" t="s">
        <v>58</v>
      </c>
      <c r="J50">
        <v>70.62</v>
      </c>
      <c r="K50" s="1">
        <v>45505</v>
      </c>
    </row>
    <row r="51" spans="1:11">
      <c r="A51" s="1" t="s">
        <v>100</v>
      </c>
      <c r="B51" s="1" t="s">
        <v>12</v>
      </c>
      <c r="C51" s="1" t="s">
        <v>13</v>
      </c>
      <c r="D51">
        <v>16</v>
      </c>
      <c r="E51">
        <v>163.77000000000001</v>
      </c>
      <c r="F51">
        <v>2620.3200000000002</v>
      </c>
      <c r="G51" s="2">
        <v>45349</v>
      </c>
      <c r="H51" s="1" t="s">
        <v>45</v>
      </c>
      <c r="I51" s="1" t="s">
        <v>15</v>
      </c>
      <c r="J51">
        <v>2620.3200000000002</v>
      </c>
      <c r="K51" s="1">
        <v>45323</v>
      </c>
    </row>
    <row r="52" spans="1:11">
      <c r="A52" s="1" t="s">
        <v>101</v>
      </c>
      <c r="B52" s="1" t="s">
        <v>43</v>
      </c>
      <c r="C52" s="1" t="s">
        <v>13</v>
      </c>
      <c r="D52">
        <v>10</v>
      </c>
      <c r="E52">
        <v>122.34</v>
      </c>
      <c r="F52">
        <v>1223.4000000000001</v>
      </c>
      <c r="G52" s="2">
        <v>45504</v>
      </c>
      <c r="H52" s="1" t="s">
        <v>19</v>
      </c>
      <c r="I52" s="1" t="s">
        <v>41</v>
      </c>
      <c r="J52">
        <v>1223.4000000000001</v>
      </c>
      <c r="K52" s="1">
        <v>45474</v>
      </c>
    </row>
    <row r="53" spans="1:11">
      <c r="A53" s="1" t="s">
        <v>102</v>
      </c>
      <c r="B53" s="1" t="s">
        <v>62</v>
      </c>
      <c r="C53" s="1" t="s">
        <v>32</v>
      </c>
      <c r="D53">
        <v>1</v>
      </c>
      <c r="E53">
        <v>876.63</v>
      </c>
      <c r="F53">
        <v>876.63</v>
      </c>
      <c r="G53" s="2">
        <v>45421</v>
      </c>
      <c r="H53" s="1" t="s">
        <v>26</v>
      </c>
      <c r="I53" s="1" t="s">
        <v>51</v>
      </c>
      <c r="J53">
        <v>876.63</v>
      </c>
      <c r="K53" s="1">
        <v>45413</v>
      </c>
    </row>
    <row r="54" spans="1:11">
      <c r="A54" s="1" t="s">
        <v>103</v>
      </c>
      <c r="B54" s="1" t="s">
        <v>31</v>
      </c>
      <c r="C54" s="1" t="s">
        <v>32</v>
      </c>
      <c r="D54">
        <v>9</v>
      </c>
      <c r="E54">
        <v>240.89</v>
      </c>
      <c r="F54">
        <v>2168.0100000000002</v>
      </c>
      <c r="G54" s="2">
        <v>45479</v>
      </c>
      <c r="H54" s="1" t="s">
        <v>45</v>
      </c>
      <c r="I54" s="1" t="s">
        <v>81</v>
      </c>
      <c r="J54">
        <v>2168.0100000000002</v>
      </c>
      <c r="K54" s="1">
        <v>45474</v>
      </c>
    </row>
    <row r="55" spans="1:11">
      <c r="A55" s="1" t="s">
        <v>104</v>
      </c>
      <c r="B55" s="1" t="s">
        <v>62</v>
      </c>
      <c r="C55" s="1" t="s">
        <v>32</v>
      </c>
      <c r="D55">
        <v>14</v>
      </c>
      <c r="E55">
        <v>812.03</v>
      </c>
      <c r="F55">
        <v>11368.42</v>
      </c>
      <c r="G55" s="2">
        <v>45292</v>
      </c>
      <c r="H55" s="1" t="s">
        <v>45</v>
      </c>
      <c r="I55" s="1" t="s">
        <v>81</v>
      </c>
      <c r="J55">
        <v>11368.42</v>
      </c>
      <c r="K55" s="1">
        <v>45292</v>
      </c>
    </row>
    <row r="56" spans="1:11">
      <c r="A56" s="1" t="s">
        <v>105</v>
      </c>
      <c r="B56" s="1" t="s">
        <v>12</v>
      </c>
      <c r="C56" s="1" t="s">
        <v>13</v>
      </c>
      <c r="D56">
        <v>20</v>
      </c>
      <c r="E56">
        <v>183.44</v>
      </c>
      <c r="F56">
        <v>3668.8</v>
      </c>
      <c r="G56" s="2">
        <v>45634</v>
      </c>
      <c r="H56" s="1" t="s">
        <v>14</v>
      </c>
      <c r="I56" s="1" t="s">
        <v>85</v>
      </c>
      <c r="J56">
        <v>3668.8</v>
      </c>
      <c r="K56" s="1">
        <v>45627</v>
      </c>
    </row>
    <row r="57" spans="1:11">
      <c r="A57" s="1" t="s">
        <v>106</v>
      </c>
      <c r="B57" s="1" t="s">
        <v>12</v>
      </c>
      <c r="C57" s="1" t="s">
        <v>13</v>
      </c>
      <c r="D57">
        <v>3</v>
      </c>
      <c r="E57">
        <v>116.49</v>
      </c>
      <c r="F57">
        <v>349.47</v>
      </c>
      <c r="G57" s="2">
        <v>45559</v>
      </c>
      <c r="H57" s="1" t="s">
        <v>45</v>
      </c>
      <c r="I57" s="1" t="s">
        <v>51</v>
      </c>
      <c r="J57">
        <v>349.47</v>
      </c>
      <c r="K57" s="1">
        <v>45536</v>
      </c>
    </row>
    <row r="58" spans="1:11">
      <c r="A58" s="1" t="s">
        <v>107</v>
      </c>
      <c r="B58" s="1" t="s">
        <v>56</v>
      </c>
      <c r="C58" s="1" t="s">
        <v>57</v>
      </c>
      <c r="D58">
        <v>5</v>
      </c>
      <c r="E58">
        <v>21.65</v>
      </c>
      <c r="F58">
        <v>108.25</v>
      </c>
      <c r="G58" s="2">
        <v>45326</v>
      </c>
      <c r="H58" s="1" t="s">
        <v>26</v>
      </c>
      <c r="I58" s="1" t="s">
        <v>51</v>
      </c>
      <c r="J58">
        <v>108.25</v>
      </c>
      <c r="K58" s="1">
        <v>45323</v>
      </c>
    </row>
    <row r="59" spans="1:11">
      <c r="A59" s="1" t="s">
        <v>108</v>
      </c>
      <c r="B59" s="1" t="s">
        <v>40</v>
      </c>
      <c r="C59" s="1" t="s">
        <v>25</v>
      </c>
      <c r="D59">
        <v>17</v>
      </c>
      <c r="E59">
        <v>11.86</v>
      </c>
      <c r="F59">
        <v>201.62</v>
      </c>
      <c r="G59" s="2">
        <v>45624</v>
      </c>
      <c r="H59" s="1" t="s">
        <v>26</v>
      </c>
      <c r="I59" s="1" t="s">
        <v>15</v>
      </c>
      <c r="J59">
        <v>201.62</v>
      </c>
      <c r="K59" s="1">
        <v>45597</v>
      </c>
    </row>
    <row r="60" spans="1:11">
      <c r="A60" s="1" t="s">
        <v>109</v>
      </c>
      <c r="B60" s="1" t="s">
        <v>12</v>
      </c>
      <c r="C60" s="1" t="s">
        <v>13</v>
      </c>
      <c r="D60">
        <v>20</v>
      </c>
      <c r="E60">
        <v>149.44999999999999</v>
      </c>
      <c r="F60">
        <v>2989</v>
      </c>
      <c r="G60" s="2">
        <v>45483</v>
      </c>
      <c r="H60" s="1" t="s">
        <v>19</v>
      </c>
      <c r="I60" s="1" t="s">
        <v>66</v>
      </c>
      <c r="J60">
        <v>2989</v>
      </c>
      <c r="K60" s="1">
        <v>45474</v>
      </c>
    </row>
    <row r="61" spans="1:11">
      <c r="A61" s="1" t="s">
        <v>110</v>
      </c>
      <c r="B61" s="1" t="s">
        <v>54</v>
      </c>
      <c r="C61" s="1" t="s">
        <v>32</v>
      </c>
      <c r="D61">
        <v>11</v>
      </c>
      <c r="E61">
        <v>348.44</v>
      </c>
      <c r="F61">
        <v>3832.84</v>
      </c>
      <c r="G61" s="2">
        <v>45440</v>
      </c>
      <c r="H61" s="1" t="s">
        <v>26</v>
      </c>
      <c r="I61" s="1" t="s">
        <v>33</v>
      </c>
      <c r="J61">
        <v>3832.84</v>
      </c>
      <c r="K61" s="1">
        <v>45413</v>
      </c>
    </row>
    <row r="62" spans="1:11">
      <c r="A62" s="1" t="s">
        <v>111</v>
      </c>
      <c r="B62" s="1" t="s">
        <v>62</v>
      </c>
      <c r="C62" s="1" t="s">
        <v>32</v>
      </c>
      <c r="D62">
        <v>20</v>
      </c>
      <c r="E62">
        <v>920.32</v>
      </c>
      <c r="F62">
        <v>18406.400000000001</v>
      </c>
      <c r="G62" s="2">
        <v>45613</v>
      </c>
      <c r="H62" s="1" t="s">
        <v>14</v>
      </c>
      <c r="I62" s="1" t="s">
        <v>51</v>
      </c>
      <c r="J62">
        <v>18406.400000000001</v>
      </c>
      <c r="K62" s="1">
        <v>45597</v>
      </c>
    </row>
    <row r="63" spans="1:11">
      <c r="A63" s="1" t="s">
        <v>112</v>
      </c>
      <c r="B63" s="1" t="s">
        <v>31</v>
      </c>
      <c r="C63" s="1" t="s">
        <v>32</v>
      </c>
      <c r="D63">
        <v>5</v>
      </c>
      <c r="E63">
        <v>292.98</v>
      </c>
      <c r="F63">
        <v>1464.9</v>
      </c>
      <c r="G63" s="2">
        <v>45524</v>
      </c>
      <c r="H63" s="1" t="s">
        <v>45</v>
      </c>
      <c r="I63" s="1" t="s">
        <v>60</v>
      </c>
      <c r="J63">
        <v>1464.9</v>
      </c>
      <c r="K63" s="1">
        <v>45505</v>
      </c>
    </row>
    <row r="64" spans="1:11">
      <c r="A64" s="1" t="s">
        <v>113</v>
      </c>
      <c r="B64" s="1" t="s">
        <v>43</v>
      </c>
      <c r="C64" s="1" t="s">
        <v>13</v>
      </c>
      <c r="D64">
        <v>18</v>
      </c>
      <c r="E64">
        <v>167.63</v>
      </c>
      <c r="F64">
        <v>3017.34</v>
      </c>
      <c r="G64" s="2">
        <v>45414</v>
      </c>
      <c r="H64" s="1" t="s">
        <v>19</v>
      </c>
      <c r="I64" s="1" t="s">
        <v>71</v>
      </c>
      <c r="J64">
        <v>3017.34</v>
      </c>
      <c r="K64" s="1">
        <v>45413</v>
      </c>
    </row>
    <row r="65" spans="1:11">
      <c r="A65" s="1" t="s">
        <v>114</v>
      </c>
      <c r="B65" s="1" t="s">
        <v>17</v>
      </c>
      <c r="C65" s="1" t="s">
        <v>18</v>
      </c>
      <c r="D65">
        <v>13</v>
      </c>
      <c r="E65">
        <v>14.39</v>
      </c>
      <c r="F65">
        <v>187.07</v>
      </c>
      <c r="G65" s="2">
        <v>45594</v>
      </c>
      <c r="H65" s="1" t="s">
        <v>35</v>
      </c>
      <c r="I65" s="1" t="s">
        <v>15</v>
      </c>
      <c r="J65">
        <v>187.07</v>
      </c>
      <c r="K65" s="1">
        <v>45566</v>
      </c>
    </row>
    <row r="66" spans="1:11">
      <c r="A66" s="1" t="s">
        <v>115</v>
      </c>
      <c r="B66" s="1" t="s">
        <v>17</v>
      </c>
      <c r="C66" s="1" t="s">
        <v>18</v>
      </c>
      <c r="D66">
        <v>3</v>
      </c>
      <c r="E66">
        <v>6.34</v>
      </c>
      <c r="F66">
        <v>19.02</v>
      </c>
      <c r="G66" s="2">
        <v>45414</v>
      </c>
      <c r="H66" s="1" t="s">
        <v>19</v>
      </c>
      <c r="I66" s="1" t="s">
        <v>15</v>
      </c>
      <c r="J66">
        <v>19.02</v>
      </c>
      <c r="K66" s="1">
        <v>45413</v>
      </c>
    </row>
    <row r="67" spans="1:11">
      <c r="A67" s="1" t="s">
        <v>116</v>
      </c>
      <c r="B67" s="1" t="s">
        <v>54</v>
      </c>
      <c r="C67" s="1" t="s">
        <v>32</v>
      </c>
      <c r="D67">
        <v>5</v>
      </c>
      <c r="E67">
        <v>227.26</v>
      </c>
      <c r="F67">
        <v>1136.3</v>
      </c>
      <c r="G67" s="2">
        <v>45473</v>
      </c>
      <c r="H67" s="1" t="s">
        <v>45</v>
      </c>
      <c r="I67" s="1" t="s">
        <v>51</v>
      </c>
      <c r="J67">
        <v>1136.3</v>
      </c>
      <c r="K67" s="1">
        <v>45444</v>
      </c>
    </row>
    <row r="68" spans="1:11">
      <c r="A68" s="1" t="s">
        <v>117</v>
      </c>
      <c r="B68" s="1" t="s">
        <v>24</v>
      </c>
      <c r="C68" s="1" t="s">
        <v>25</v>
      </c>
      <c r="D68">
        <v>12</v>
      </c>
      <c r="E68">
        <v>2.2000000000000002</v>
      </c>
      <c r="F68">
        <v>26.4</v>
      </c>
      <c r="G68" s="2">
        <v>45458</v>
      </c>
      <c r="H68" s="1" t="s">
        <v>35</v>
      </c>
      <c r="I68" s="1" t="s">
        <v>36</v>
      </c>
      <c r="J68">
        <v>26.4</v>
      </c>
      <c r="K68" s="1">
        <v>45444</v>
      </c>
    </row>
    <row r="69" spans="1:11">
      <c r="A69" s="1" t="s">
        <v>118</v>
      </c>
      <c r="B69" s="1" t="s">
        <v>12</v>
      </c>
      <c r="C69" s="1" t="s">
        <v>13</v>
      </c>
      <c r="D69">
        <v>15</v>
      </c>
      <c r="E69">
        <v>163.44999999999999</v>
      </c>
      <c r="F69">
        <v>2451.75</v>
      </c>
      <c r="G69" s="2">
        <v>45390</v>
      </c>
      <c r="H69" s="1" t="s">
        <v>45</v>
      </c>
      <c r="I69" s="1" t="s">
        <v>36</v>
      </c>
      <c r="J69">
        <v>2451.75</v>
      </c>
      <c r="K69" s="1">
        <v>45383</v>
      </c>
    </row>
    <row r="70" spans="1:11">
      <c r="A70" s="1" t="s">
        <v>119</v>
      </c>
      <c r="B70" s="1" t="s">
        <v>24</v>
      </c>
      <c r="C70" s="1" t="s">
        <v>25</v>
      </c>
      <c r="D70">
        <v>10</v>
      </c>
      <c r="E70">
        <v>1.38</v>
      </c>
      <c r="F70">
        <v>13.8</v>
      </c>
      <c r="G70" s="2">
        <v>45626</v>
      </c>
      <c r="H70" s="1" t="s">
        <v>19</v>
      </c>
      <c r="I70" s="1" t="s">
        <v>87</v>
      </c>
      <c r="J70">
        <v>13.8</v>
      </c>
      <c r="K70" s="1">
        <v>45597</v>
      </c>
    </row>
    <row r="71" spans="1:11">
      <c r="A71" s="1" t="s">
        <v>120</v>
      </c>
      <c r="B71" s="1" t="s">
        <v>12</v>
      </c>
      <c r="C71" s="1" t="s">
        <v>13</v>
      </c>
      <c r="D71">
        <v>11</v>
      </c>
      <c r="E71">
        <v>118</v>
      </c>
      <c r="F71">
        <v>1298</v>
      </c>
      <c r="G71" s="2">
        <v>45370</v>
      </c>
      <c r="H71" s="1" t="s">
        <v>35</v>
      </c>
      <c r="I71" s="1" t="s">
        <v>47</v>
      </c>
      <c r="J71">
        <v>1298</v>
      </c>
      <c r="K71" s="1">
        <v>45352</v>
      </c>
    </row>
    <row r="72" spans="1:11">
      <c r="A72" s="1" t="s">
        <v>121</v>
      </c>
      <c r="B72" s="1" t="s">
        <v>17</v>
      </c>
      <c r="C72" s="1" t="s">
        <v>18</v>
      </c>
      <c r="D72">
        <v>7</v>
      </c>
      <c r="E72">
        <v>14.31</v>
      </c>
      <c r="F72">
        <v>100.17</v>
      </c>
      <c r="G72" s="2">
        <v>45325</v>
      </c>
      <c r="H72" s="1" t="s">
        <v>35</v>
      </c>
      <c r="I72" s="1" t="s">
        <v>98</v>
      </c>
      <c r="J72">
        <v>100.17</v>
      </c>
      <c r="K72" s="1">
        <v>45323</v>
      </c>
    </row>
    <row r="73" spans="1:11">
      <c r="A73" s="1" t="s">
        <v>122</v>
      </c>
      <c r="B73" s="1" t="s">
        <v>24</v>
      </c>
      <c r="C73" s="1" t="s">
        <v>25</v>
      </c>
      <c r="D73">
        <v>5</v>
      </c>
      <c r="E73">
        <v>1.97</v>
      </c>
      <c r="F73">
        <v>9.85</v>
      </c>
      <c r="G73" s="2">
        <v>45432</v>
      </c>
      <c r="H73" s="1" t="s">
        <v>14</v>
      </c>
      <c r="I73" s="1" t="s">
        <v>41</v>
      </c>
      <c r="J73">
        <v>9.85</v>
      </c>
      <c r="K73" s="1">
        <v>45413</v>
      </c>
    </row>
    <row r="74" spans="1:11">
      <c r="A74" s="1" t="s">
        <v>123</v>
      </c>
      <c r="B74" s="1" t="s">
        <v>62</v>
      </c>
      <c r="C74" s="1" t="s">
        <v>32</v>
      </c>
      <c r="D74">
        <v>2</v>
      </c>
      <c r="E74">
        <v>979.47</v>
      </c>
      <c r="F74">
        <v>1958.94</v>
      </c>
      <c r="G74" s="2">
        <v>45517</v>
      </c>
      <c r="H74" s="1" t="s">
        <v>14</v>
      </c>
      <c r="I74" s="1" t="s">
        <v>49</v>
      </c>
      <c r="J74">
        <v>1958.94</v>
      </c>
      <c r="K74" s="1">
        <v>45505</v>
      </c>
    </row>
    <row r="75" spans="1:11">
      <c r="A75" s="1" t="s">
        <v>124</v>
      </c>
      <c r="B75" s="1" t="s">
        <v>56</v>
      </c>
      <c r="C75" s="1" t="s">
        <v>57</v>
      </c>
      <c r="D75">
        <v>5</v>
      </c>
      <c r="E75">
        <v>46.27</v>
      </c>
      <c r="F75">
        <v>231.35</v>
      </c>
      <c r="G75" s="2">
        <v>45432</v>
      </c>
      <c r="H75" s="1" t="s">
        <v>26</v>
      </c>
      <c r="I75" s="1" t="s">
        <v>27</v>
      </c>
      <c r="J75">
        <v>231.35</v>
      </c>
      <c r="K75" s="1">
        <v>45413</v>
      </c>
    </row>
    <row r="76" spans="1:11">
      <c r="A76" s="1" t="s">
        <v>125</v>
      </c>
      <c r="B76" s="1" t="s">
        <v>17</v>
      </c>
      <c r="C76" s="1" t="s">
        <v>18</v>
      </c>
      <c r="D76">
        <v>8</v>
      </c>
      <c r="E76">
        <v>10.97</v>
      </c>
      <c r="F76">
        <v>87.76</v>
      </c>
      <c r="G76" s="2">
        <v>45653</v>
      </c>
      <c r="H76" s="1" t="s">
        <v>45</v>
      </c>
      <c r="I76" s="1" t="s">
        <v>49</v>
      </c>
      <c r="J76">
        <v>87.76</v>
      </c>
      <c r="K76" s="1">
        <v>45627</v>
      </c>
    </row>
    <row r="77" spans="1:11">
      <c r="A77" s="1" t="s">
        <v>126</v>
      </c>
      <c r="B77" s="1" t="s">
        <v>62</v>
      </c>
      <c r="C77" s="1" t="s">
        <v>32</v>
      </c>
      <c r="D77">
        <v>2</v>
      </c>
      <c r="E77">
        <v>903.12</v>
      </c>
      <c r="F77">
        <v>1806.24</v>
      </c>
      <c r="G77" s="2">
        <v>45326</v>
      </c>
      <c r="H77" s="1" t="s">
        <v>14</v>
      </c>
      <c r="I77" s="1" t="s">
        <v>96</v>
      </c>
      <c r="J77">
        <v>1806.24</v>
      </c>
      <c r="K77" s="1">
        <v>45323</v>
      </c>
    </row>
    <row r="78" spans="1:11">
      <c r="A78" s="1" t="s">
        <v>127</v>
      </c>
      <c r="B78" s="1" t="s">
        <v>31</v>
      </c>
      <c r="C78" s="1" t="s">
        <v>32</v>
      </c>
      <c r="D78">
        <v>18</v>
      </c>
      <c r="E78">
        <v>281.14</v>
      </c>
      <c r="F78">
        <v>5060.5200000000004</v>
      </c>
      <c r="G78" s="2">
        <v>45571</v>
      </c>
      <c r="H78" s="1" t="s">
        <v>35</v>
      </c>
      <c r="I78" s="1" t="s">
        <v>85</v>
      </c>
      <c r="J78">
        <v>5060.5200000000004</v>
      </c>
      <c r="K78" s="1">
        <v>45566</v>
      </c>
    </row>
    <row r="79" spans="1:11">
      <c r="A79" s="1" t="s">
        <v>128</v>
      </c>
      <c r="B79" s="1" t="s">
        <v>24</v>
      </c>
      <c r="C79" s="1" t="s">
        <v>25</v>
      </c>
      <c r="D79">
        <v>5</v>
      </c>
      <c r="E79">
        <v>2.5499999999999998</v>
      </c>
      <c r="F79">
        <v>12.75</v>
      </c>
      <c r="G79" s="2">
        <v>45334</v>
      </c>
      <c r="H79" s="1" t="s">
        <v>14</v>
      </c>
      <c r="I79" s="1" t="s">
        <v>58</v>
      </c>
      <c r="J79">
        <v>12.75</v>
      </c>
      <c r="K79" s="1">
        <v>45323</v>
      </c>
    </row>
    <row r="80" spans="1:11">
      <c r="A80" s="1" t="s">
        <v>129</v>
      </c>
      <c r="B80" s="1" t="s">
        <v>40</v>
      </c>
      <c r="C80" s="1" t="s">
        <v>25</v>
      </c>
      <c r="D80">
        <v>4</v>
      </c>
      <c r="E80">
        <v>10.43</v>
      </c>
      <c r="F80">
        <v>41.72</v>
      </c>
      <c r="G80" s="2">
        <v>45536</v>
      </c>
      <c r="H80" s="1" t="s">
        <v>26</v>
      </c>
      <c r="I80" s="1" t="s">
        <v>87</v>
      </c>
      <c r="J80">
        <v>41.72</v>
      </c>
      <c r="K80" s="1">
        <v>45536</v>
      </c>
    </row>
    <row r="81" spans="1:11">
      <c r="A81" s="1" t="s">
        <v>130</v>
      </c>
      <c r="B81" s="1" t="s">
        <v>31</v>
      </c>
      <c r="C81" s="1" t="s">
        <v>32</v>
      </c>
      <c r="D81">
        <v>6</v>
      </c>
      <c r="E81">
        <v>189.82</v>
      </c>
      <c r="F81">
        <v>1138.92</v>
      </c>
      <c r="G81" s="2">
        <v>45611</v>
      </c>
      <c r="H81" s="1" t="s">
        <v>45</v>
      </c>
      <c r="I81" s="1" t="s">
        <v>36</v>
      </c>
      <c r="J81">
        <v>1138.92</v>
      </c>
      <c r="K81" s="1">
        <v>45597</v>
      </c>
    </row>
    <row r="82" spans="1:11">
      <c r="A82" s="1" t="s">
        <v>131</v>
      </c>
      <c r="B82" s="1" t="s">
        <v>54</v>
      </c>
      <c r="C82" s="1" t="s">
        <v>32</v>
      </c>
      <c r="D82">
        <v>12</v>
      </c>
      <c r="E82">
        <v>299.72000000000003</v>
      </c>
      <c r="F82">
        <v>3596.64</v>
      </c>
      <c r="G82" s="2">
        <v>45349</v>
      </c>
      <c r="H82" s="1" t="s">
        <v>26</v>
      </c>
      <c r="I82" s="1" t="s">
        <v>47</v>
      </c>
      <c r="J82">
        <v>3596.64</v>
      </c>
      <c r="K82" s="1">
        <v>45323</v>
      </c>
    </row>
    <row r="83" spans="1:11">
      <c r="A83" s="1" t="s">
        <v>132</v>
      </c>
      <c r="B83" s="1" t="s">
        <v>17</v>
      </c>
      <c r="C83" s="1" t="s">
        <v>18</v>
      </c>
      <c r="D83">
        <v>12</v>
      </c>
      <c r="E83">
        <v>12.08</v>
      </c>
      <c r="F83">
        <v>144.96</v>
      </c>
      <c r="G83" s="2">
        <v>45301</v>
      </c>
      <c r="H83" s="1" t="s">
        <v>19</v>
      </c>
      <c r="I83" s="1" t="s">
        <v>51</v>
      </c>
      <c r="J83">
        <v>144.96</v>
      </c>
      <c r="K83" s="1">
        <v>45292</v>
      </c>
    </row>
    <row r="84" spans="1:11">
      <c r="A84" s="1" t="s">
        <v>133</v>
      </c>
      <c r="B84" s="1" t="s">
        <v>21</v>
      </c>
      <c r="C84" s="1" t="s">
        <v>22</v>
      </c>
      <c r="D84">
        <v>1</v>
      </c>
      <c r="E84">
        <v>9357.86</v>
      </c>
      <c r="F84">
        <v>9357.86</v>
      </c>
      <c r="G84" s="2">
        <v>45628</v>
      </c>
      <c r="H84" s="1" t="s">
        <v>14</v>
      </c>
      <c r="I84" s="1" t="s">
        <v>60</v>
      </c>
      <c r="J84">
        <v>9357.86</v>
      </c>
      <c r="K84" s="1">
        <v>45627</v>
      </c>
    </row>
    <row r="85" spans="1:11">
      <c r="A85" s="1" t="s">
        <v>134</v>
      </c>
      <c r="B85" s="1" t="s">
        <v>21</v>
      </c>
      <c r="C85" s="1" t="s">
        <v>22</v>
      </c>
      <c r="D85">
        <v>1</v>
      </c>
      <c r="E85">
        <v>7221.2</v>
      </c>
      <c r="F85">
        <v>7221.2</v>
      </c>
      <c r="G85" s="2">
        <v>45539</v>
      </c>
      <c r="H85" s="1" t="s">
        <v>14</v>
      </c>
      <c r="I85" s="1" t="s">
        <v>135</v>
      </c>
      <c r="J85">
        <v>7221.2</v>
      </c>
      <c r="K85" s="1">
        <v>45536</v>
      </c>
    </row>
    <row r="86" spans="1:11">
      <c r="A86" s="1" t="s">
        <v>136</v>
      </c>
      <c r="B86" s="1" t="s">
        <v>43</v>
      </c>
      <c r="C86" s="1" t="s">
        <v>13</v>
      </c>
      <c r="D86">
        <v>19</v>
      </c>
      <c r="E86">
        <v>124.01</v>
      </c>
      <c r="F86">
        <v>2356.19</v>
      </c>
      <c r="G86" s="2">
        <v>45434</v>
      </c>
      <c r="H86" s="1" t="s">
        <v>45</v>
      </c>
      <c r="I86" s="1" t="s">
        <v>27</v>
      </c>
      <c r="J86">
        <v>2356.19</v>
      </c>
      <c r="K86" s="1">
        <v>45413</v>
      </c>
    </row>
    <row r="87" spans="1:11">
      <c r="A87" s="1" t="s">
        <v>137</v>
      </c>
      <c r="B87" s="1" t="s">
        <v>43</v>
      </c>
      <c r="C87" s="1" t="s">
        <v>13</v>
      </c>
      <c r="D87">
        <v>5</v>
      </c>
      <c r="E87">
        <v>153.07</v>
      </c>
      <c r="F87">
        <v>765.35</v>
      </c>
      <c r="G87" s="2">
        <v>45358</v>
      </c>
      <c r="H87" s="1" t="s">
        <v>14</v>
      </c>
      <c r="I87" s="1" t="s">
        <v>38</v>
      </c>
      <c r="J87">
        <v>765.35</v>
      </c>
      <c r="K87" s="1">
        <v>45352</v>
      </c>
    </row>
    <row r="88" spans="1:11">
      <c r="A88" s="1" t="s">
        <v>138</v>
      </c>
      <c r="B88" s="1" t="s">
        <v>12</v>
      </c>
      <c r="C88" s="1" t="s">
        <v>13</v>
      </c>
      <c r="D88">
        <v>15</v>
      </c>
      <c r="E88">
        <v>165.58</v>
      </c>
      <c r="F88">
        <v>2483.6999999999998</v>
      </c>
      <c r="G88" s="2">
        <v>45411</v>
      </c>
      <c r="H88" s="1" t="s">
        <v>14</v>
      </c>
      <c r="I88" s="1" t="s">
        <v>58</v>
      </c>
      <c r="J88">
        <v>2483.6999999999998</v>
      </c>
      <c r="K88" s="1">
        <v>45383</v>
      </c>
    </row>
    <row r="89" spans="1:11">
      <c r="A89" s="1" t="s">
        <v>139</v>
      </c>
      <c r="B89" s="1" t="s">
        <v>21</v>
      </c>
      <c r="C89" s="1" t="s">
        <v>22</v>
      </c>
      <c r="D89">
        <v>1</v>
      </c>
      <c r="E89">
        <v>5555.59</v>
      </c>
      <c r="F89">
        <v>5555.59</v>
      </c>
      <c r="G89" s="2">
        <v>45402</v>
      </c>
      <c r="H89" s="1" t="s">
        <v>35</v>
      </c>
      <c r="I89" s="1" t="s">
        <v>58</v>
      </c>
      <c r="J89">
        <v>5555.59</v>
      </c>
      <c r="K89" s="1">
        <v>45383</v>
      </c>
    </row>
    <row r="90" spans="1:11">
      <c r="A90" s="1" t="s">
        <v>140</v>
      </c>
      <c r="B90" s="1" t="s">
        <v>43</v>
      </c>
      <c r="C90" s="1" t="s">
        <v>13</v>
      </c>
      <c r="D90">
        <v>6</v>
      </c>
      <c r="E90">
        <v>150.57</v>
      </c>
      <c r="F90">
        <v>903.42</v>
      </c>
      <c r="G90" s="2">
        <v>45496</v>
      </c>
      <c r="H90" s="1" t="s">
        <v>14</v>
      </c>
      <c r="I90" s="1" t="s">
        <v>60</v>
      </c>
      <c r="J90">
        <v>903.42</v>
      </c>
      <c r="K90" s="1">
        <v>45474</v>
      </c>
    </row>
    <row r="91" spans="1:11">
      <c r="A91" s="1" t="s">
        <v>141</v>
      </c>
      <c r="B91" s="1" t="s">
        <v>62</v>
      </c>
      <c r="C91" s="1" t="s">
        <v>32</v>
      </c>
      <c r="D91">
        <v>6</v>
      </c>
      <c r="E91">
        <v>832.8</v>
      </c>
      <c r="F91">
        <v>4996.8</v>
      </c>
      <c r="G91" s="2">
        <v>45602</v>
      </c>
      <c r="H91" s="1" t="s">
        <v>19</v>
      </c>
      <c r="I91" s="1" t="s">
        <v>81</v>
      </c>
      <c r="J91">
        <v>4996.8</v>
      </c>
      <c r="K91" s="1">
        <v>45597</v>
      </c>
    </row>
    <row r="92" spans="1:11">
      <c r="A92" s="1" t="s">
        <v>142</v>
      </c>
      <c r="B92" s="1" t="s">
        <v>12</v>
      </c>
      <c r="C92" s="1" t="s">
        <v>13</v>
      </c>
      <c r="D92">
        <v>15</v>
      </c>
      <c r="E92">
        <v>195.46</v>
      </c>
      <c r="F92">
        <v>2931.9</v>
      </c>
      <c r="G92" s="2">
        <v>45544</v>
      </c>
      <c r="H92" s="1" t="s">
        <v>45</v>
      </c>
      <c r="I92" s="1" t="s">
        <v>58</v>
      </c>
      <c r="J92">
        <v>2931.9</v>
      </c>
      <c r="K92" s="1">
        <v>45536</v>
      </c>
    </row>
    <row r="93" spans="1:11">
      <c r="A93" s="1" t="s">
        <v>143</v>
      </c>
      <c r="B93" s="1" t="s">
        <v>17</v>
      </c>
      <c r="C93" s="1" t="s">
        <v>18</v>
      </c>
      <c r="D93">
        <v>7</v>
      </c>
      <c r="E93">
        <v>11.95</v>
      </c>
      <c r="F93">
        <v>83.65</v>
      </c>
      <c r="G93" s="2">
        <v>45554</v>
      </c>
      <c r="H93" s="1" t="s">
        <v>45</v>
      </c>
      <c r="I93" s="1" t="s">
        <v>135</v>
      </c>
      <c r="J93">
        <v>83.65</v>
      </c>
      <c r="K93" s="1">
        <v>45536</v>
      </c>
    </row>
    <row r="94" spans="1:11">
      <c r="A94" s="1" t="s">
        <v>144</v>
      </c>
      <c r="B94" s="1" t="s">
        <v>54</v>
      </c>
      <c r="C94" s="1" t="s">
        <v>32</v>
      </c>
      <c r="D94">
        <v>4</v>
      </c>
      <c r="E94">
        <v>246.9</v>
      </c>
      <c r="F94">
        <v>987.6</v>
      </c>
      <c r="G94" s="2">
        <v>45601</v>
      </c>
      <c r="H94" s="1" t="s">
        <v>19</v>
      </c>
      <c r="I94" s="1" t="s">
        <v>36</v>
      </c>
      <c r="J94">
        <v>987.6</v>
      </c>
      <c r="K94" s="1">
        <v>45597</v>
      </c>
    </row>
    <row r="95" spans="1:11">
      <c r="A95" s="1" t="s">
        <v>145</v>
      </c>
      <c r="B95" s="1" t="s">
        <v>62</v>
      </c>
      <c r="C95" s="1" t="s">
        <v>32</v>
      </c>
      <c r="D95">
        <v>7</v>
      </c>
      <c r="E95">
        <v>900.44</v>
      </c>
      <c r="F95">
        <v>6303.08</v>
      </c>
      <c r="G95" s="2">
        <v>45533</v>
      </c>
      <c r="H95" s="1" t="s">
        <v>19</v>
      </c>
      <c r="I95" s="1" t="s">
        <v>135</v>
      </c>
      <c r="J95">
        <v>6303.08</v>
      </c>
      <c r="K95" s="1">
        <v>45505</v>
      </c>
    </row>
    <row r="96" spans="1:11">
      <c r="A96" s="1" t="s">
        <v>146</v>
      </c>
      <c r="B96" s="1" t="s">
        <v>12</v>
      </c>
      <c r="C96" s="1" t="s">
        <v>13</v>
      </c>
      <c r="D96">
        <v>12</v>
      </c>
      <c r="E96">
        <v>181.86</v>
      </c>
      <c r="F96">
        <v>2182.3200000000002</v>
      </c>
      <c r="G96" s="2">
        <v>45343</v>
      </c>
      <c r="H96" s="1" t="s">
        <v>45</v>
      </c>
      <c r="I96" s="1" t="s">
        <v>71</v>
      </c>
      <c r="J96">
        <v>2182.3200000000002</v>
      </c>
      <c r="K96" s="1">
        <v>45323</v>
      </c>
    </row>
    <row r="97" spans="1:11">
      <c r="A97" s="1" t="s">
        <v>147</v>
      </c>
      <c r="B97" s="1" t="s">
        <v>12</v>
      </c>
      <c r="C97" s="1" t="s">
        <v>13</v>
      </c>
      <c r="D97">
        <v>1</v>
      </c>
      <c r="E97">
        <v>153.21</v>
      </c>
      <c r="F97">
        <v>153.21</v>
      </c>
      <c r="G97" s="2">
        <v>45366</v>
      </c>
      <c r="H97" s="1" t="s">
        <v>14</v>
      </c>
      <c r="I97" s="1" t="s">
        <v>15</v>
      </c>
      <c r="J97">
        <v>153.21</v>
      </c>
      <c r="K97" s="1">
        <v>45352</v>
      </c>
    </row>
    <row r="98" spans="1:11">
      <c r="A98" s="1" t="s">
        <v>148</v>
      </c>
      <c r="B98" s="1" t="s">
        <v>12</v>
      </c>
      <c r="C98" s="1" t="s">
        <v>13</v>
      </c>
      <c r="D98">
        <v>2</v>
      </c>
      <c r="E98">
        <v>109.08</v>
      </c>
      <c r="F98">
        <v>218.16</v>
      </c>
      <c r="G98" s="2">
        <v>45527</v>
      </c>
      <c r="H98" s="1" t="s">
        <v>19</v>
      </c>
      <c r="I98" s="1" t="s">
        <v>81</v>
      </c>
      <c r="J98">
        <v>218.16</v>
      </c>
      <c r="K98" s="1">
        <v>45505</v>
      </c>
    </row>
    <row r="99" spans="1:11">
      <c r="A99" s="1" t="s">
        <v>149</v>
      </c>
      <c r="B99" s="1" t="s">
        <v>56</v>
      </c>
      <c r="C99" s="1" t="s">
        <v>57</v>
      </c>
      <c r="D99">
        <v>12</v>
      </c>
      <c r="E99">
        <v>21.39</v>
      </c>
      <c r="F99">
        <v>256.68</v>
      </c>
      <c r="G99" s="2">
        <v>45551</v>
      </c>
      <c r="H99" s="1" t="s">
        <v>35</v>
      </c>
      <c r="I99" s="1" t="s">
        <v>27</v>
      </c>
      <c r="J99">
        <v>256.68</v>
      </c>
      <c r="K99" s="1">
        <v>45536</v>
      </c>
    </row>
    <row r="100" spans="1:11">
      <c r="A100" s="1" t="s">
        <v>150</v>
      </c>
      <c r="B100" s="1" t="s">
        <v>21</v>
      </c>
      <c r="C100" s="1" t="s">
        <v>22</v>
      </c>
      <c r="D100">
        <v>1</v>
      </c>
      <c r="E100">
        <v>9534.43</v>
      </c>
      <c r="F100">
        <v>9534.43</v>
      </c>
      <c r="G100" s="2">
        <v>45411</v>
      </c>
      <c r="H100" s="1" t="s">
        <v>26</v>
      </c>
      <c r="I100" s="1" t="s">
        <v>33</v>
      </c>
      <c r="J100">
        <v>9534.43</v>
      </c>
      <c r="K100" s="1">
        <v>45383</v>
      </c>
    </row>
    <row r="101" spans="1:11">
      <c r="A101" s="1" t="s">
        <v>151</v>
      </c>
      <c r="B101" s="1" t="s">
        <v>56</v>
      </c>
      <c r="C101" s="1" t="s">
        <v>57</v>
      </c>
      <c r="D101">
        <v>10</v>
      </c>
      <c r="E101">
        <v>20.399999999999999</v>
      </c>
      <c r="F101">
        <v>204</v>
      </c>
      <c r="G101" s="2">
        <v>45619</v>
      </c>
      <c r="H101" s="1" t="s">
        <v>45</v>
      </c>
      <c r="I101" s="1" t="s">
        <v>49</v>
      </c>
      <c r="J101">
        <v>204</v>
      </c>
      <c r="K101" s="1">
        <v>45597</v>
      </c>
    </row>
    <row r="102" spans="1:11">
      <c r="A102" s="1" t="s">
        <v>152</v>
      </c>
      <c r="B102" s="1" t="s">
        <v>56</v>
      </c>
      <c r="C102" s="1" t="s">
        <v>57</v>
      </c>
      <c r="D102">
        <v>17</v>
      </c>
      <c r="E102">
        <v>24.34</v>
      </c>
      <c r="F102">
        <v>413.78</v>
      </c>
      <c r="G102" s="2">
        <v>45570</v>
      </c>
      <c r="H102" s="1" t="s">
        <v>35</v>
      </c>
      <c r="I102" s="1" t="s">
        <v>36</v>
      </c>
      <c r="J102">
        <v>413.78</v>
      </c>
      <c r="K102" s="1">
        <v>45566</v>
      </c>
    </row>
    <row r="103" spans="1:11">
      <c r="A103" s="1" t="s">
        <v>153</v>
      </c>
      <c r="B103" s="1" t="s">
        <v>31</v>
      </c>
      <c r="C103" s="1" t="s">
        <v>32</v>
      </c>
      <c r="D103">
        <v>1</v>
      </c>
      <c r="E103">
        <v>214.63</v>
      </c>
      <c r="F103">
        <v>214.63</v>
      </c>
      <c r="G103" s="2">
        <v>45506</v>
      </c>
      <c r="H103" s="1" t="s">
        <v>14</v>
      </c>
      <c r="I103" s="1" t="s">
        <v>47</v>
      </c>
      <c r="J103">
        <v>214.63</v>
      </c>
      <c r="K103" s="1">
        <v>45505</v>
      </c>
    </row>
    <row r="104" spans="1:11">
      <c r="A104" s="1" t="s">
        <v>154</v>
      </c>
      <c r="B104" s="1" t="s">
        <v>21</v>
      </c>
      <c r="C104" s="1" t="s">
        <v>22</v>
      </c>
      <c r="D104">
        <v>1</v>
      </c>
      <c r="E104">
        <v>8578.7199999999993</v>
      </c>
      <c r="F104">
        <v>8578.7199999999993</v>
      </c>
      <c r="G104" s="2">
        <v>45569</v>
      </c>
      <c r="H104" s="1" t="s">
        <v>14</v>
      </c>
      <c r="I104" s="1" t="s">
        <v>87</v>
      </c>
      <c r="J104">
        <v>8578.7199999999993</v>
      </c>
      <c r="K104" s="1">
        <v>45566</v>
      </c>
    </row>
    <row r="105" spans="1:11">
      <c r="A105" s="1" t="s">
        <v>155</v>
      </c>
      <c r="B105" s="1" t="s">
        <v>40</v>
      </c>
      <c r="C105" s="1" t="s">
        <v>25</v>
      </c>
      <c r="D105">
        <v>11</v>
      </c>
      <c r="E105">
        <v>11.27</v>
      </c>
      <c r="F105">
        <v>123.97</v>
      </c>
      <c r="G105" s="2">
        <v>45533</v>
      </c>
      <c r="H105" s="1" t="s">
        <v>19</v>
      </c>
      <c r="I105" s="1" t="s">
        <v>49</v>
      </c>
      <c r="J105">
        <v>123.97</v>
      </c>
      <c r="K105" s="1">
        <v>45505</v>
      </c>
    </row>
    <row r="106" spans="1:11">
      <c r="A106" s="1" t="s">
        <v>156</v>
      </c>
      <c r="B106" s="1" t="s">
        <v>62</v>
      </c>
      <c r="C106" s="1" t="s">
        <v>32</v>
      </c>
      <c r="D106">
        <v>1</v>
      </c>
      <c r="E106">
        <v>848.76</v>
      </c>
      <c r="F106">
        <v>848.76</v>
      </c>
      <c r="G106" s="2">
        <v>45651</v>
      </c>
      <c r="H106" s="1" t="s">
        <v>19</v>
      </c>
      <c r="I106" s="1" t="s">
        <v>87</v>
      </c>
      <c r="J106">
        <v>848.76</v>
      </c>
      <c r="K106" s="1">
        <v>45627</v>
      </c>
    </row>
    <row r="107" spans="1:11">
      <c r="A107" s="1" t="s">
        <v>157</v>
      </c>
      <c r="B107" s="1" t="s">
        <v>43</v>
      </c>
      <c r="C107" s="1" t="s">
        <v>13</v>
      </c>
      <c r="D107">
        <v>6</v>
      </c>
      <c r="E107">
        <v>115.95</v>
      </c>
      <c r="F107">
        <v>695.7</v>
      </c>
      <c r="G107" s="2">
        <v>45650</v>
      </c>
      <c r="H107" s="1" t="s">
        <v>35</v>
      </c>
      <c r="I107" s="1" t="s">
        <v>47</v>
      </c>
      <c r="J107">
        <v>695.7</v>
      </c>
      <c r="K107" s="1">
        <v>45627</v>
      </c>
    </row>
    <row r="108" spans="1:11">
      <c r="A108" s="1" t="s">
        <v>158</v>
      </c>
      <c r="B108" s="1" t="s">
        <v>43</v>
      </c>
      <c r="C108" s="1" t="s">
        <v>13</v>
      </c>
      <c r="D108">
        <v>2</v>
      </c>
      <c r="E108">
        <v>124.67</v>
      </c>
      <c r="F108">
        <v>249.34</v>
      </c>
      <c r="G108" s="2">
        <v>45513</v>
      </c>
      <c r="H108" s="1" t="s">
        <v>14</v>
      </c>
      <c r="I108" s="1" t="s">
        <v>98</v>
      </c>
      <c r="J108">
        <v>249.34</v>
      </c>
      <c r="K108" s="1">
        <v>45505</v>
      </c>
    </row>
    <row r="109" spans="1:11">
      <c r="A109" s="1" t="s">
        <v>159</v>
      </c>
      <c r="B109" s="1" t="s">
        <v>56</v>
      </c>
      <c r="C109" s="1" t="s">
        <v>57</v>
      </c>
      <c r="D109">
        <v>16</v>
      </c>
      <c r="E109">
        <v>23.11</v>
      </c>
      <c r="F109">
        <v>369.76</v>
      </c>
      <c r="G109" s="2">
        <v>45529</v>
      </c>
      <c r="H109" s="1" t="s">
        <v>26</v>
      </c>
      <c r="I109" s="1" t="s">
        <v>33</v>
      </c>
      <c r="J109">
        <v>369.76</v>
      </c>
      <c r="K109" s="1">
        <v>45505</v>
      </c>
    </row>
    <row r="110" spans="1:11">
      <c r="A110" s="1" t="s">
        <v>160</v>
      </c>
      <c r="B110" s="1" t="s">
        <v>31</v>
      </c>
      <c r="C110" s="1" t="s">
        <v>32</v>
      </c>
      <c r="D110">
        <v>6</v>
      </c>
      <c r="E110">
        <v>286.22000000000003</v>
      </c>
      <c r="F110">
        <v>1717.32</v>
      </c>
      <c r="G110" s="2">
        <v>45571</v>
      </c>
      <c r="H110" s="1" t="s">
        <v>35</v>
      </c>
      <c r="I110" s="1" t="s">
        <v>38</v>
      </c>
      <c r="J110">
        <v>1717.32</v>
      </c>
      <c r="K110" s="1">
        <v>45566</v>
      </c>
    </row>
    <row r="111" spans="1:11">
      <c r="A111" s="1" t="s">
        <v>161</v>
      </c>
      <c r="B111" s="1" t="s">
        <v>43</v>
      </c>
      <c r="C111" s="1" t="s">
        <v>13</v>
      </c>
      <c r="D111">
        <v>14</v>
      </c>
      <c r="E111">
        <v>175.56</v>
      </c>
      <c r="F111">
        <v>2457.84</v>
      </c>
      <c r="G111" s="2">
        <v>45521</v>
      </c>
      <c r="H111" s="1" t="s">
        <v>26</v>
      </c>
      <c r="I111" s="1" t="s">
        <v>36</v>
      </c>
      <c r="J111">
        <v>2457.84</v>
      </c>
      <c r="K111" s="1">
        <v>45505</v>
      </c>
    </row>
    <row r="112" spans="1:11">
      <c r="A112" s="1" t="s">
        <v>162</v>
      </c>
      <c r="B112" s="1" t="s">
        <v>56</v>
      </c>
      <c r="C112" s="1" t="s">
        <v>57</v>
      </c>
      <c r="D112">
        <v>20</v>
      </c>
      <c r="E112">
        <v>27.36</v>
      </c>
      <c r="F112">
        <v>547.20000000000005</v>
      </c>
      <c r="G112" s="2">
        <v>45359</v>
      </c>
      <c r="H112" s="1" t="s">
        <v>14</v>
      </c>
      <c r="I112" s="1" t="s">
        <v>96</v>
      </c>
      <c r="J112">
        <v>547.20000000000005</v>
      </c>
      <c r="K112" s="1">
        <v>45352</v>
      </c>
    </row>
    <row r="113" spans="1:11">
      <c r="A113" s="1" t="s">
        <v>163</v>
      </c>
      <c r="B113" s="1" t="s">
        <v>21</v>
      </c>
      <c r="C113" s="1" t="s">
        <v>22</v>
      </c>
      <c r="D113">
        <v>1</v>
      </c>
      <c r="E113">
        <v>7628.02</v>
      </c>
      <c r="F113">
        <v>7628.02</v>
      </c>
      <c r="G113" s="2">
        <v>45449</v>
      </c>
      <c r="H113" s="1" t="s">
        <v>45</v>
      </c>
      <c r="I113" s="1" t="s">
        <v>135</v>
      </c>
      <c r="J113">
        <v>7628.02</v>
      </c>
      <c r="K113" s="1">
        <v>45444</v>
      </c>
    </row>
    <row r="114" spans="1:11">
      <c r="A114" s="1" t="s">
        <v>164</v>
      </c>
      <c r="B114" s="1" t="s">
        <v>17</v>
      </c>
      <c r="C114" s="1" t="s">
        <v>18</v>
      </c>
      <c r="D114">
        <v>19</v>
      </c>
      <c r="E114">
        <v>11.32</v>
      </c>
      <c r="F114">
        <v>215.08</v>
      </c>
      <c r="G114" s="2">
        <v>45484</v>
      </c>
      <c r="H114" s="1" t="s">
        <v>45</v>
      </c>
      <c r="I114" s="1" t="s">
        <v>36</v>
      </c>
      <c r="J114">
        <v>215.08</v>
      </c>
      <c r="K114" s="1">
        <v>45474</v>
      </c>
    </row>
    <row r="115" spans="1:11">
      <c r="A115" s="1" t="s">
        <v>165</v>
      </c>
      <c r="B115" s="1" t="s">
        <v>24</v>
      </c>
      <c r="C115" s="1" t="s">
        <v>25</v>
      </c>
      <c r="D115">
        <v>15</v>
      </c>
      <c r="E115">
        <v>2.4900000000000002</v>
      </c>
      <c r="F115">
        <v>37.35</v>
      </c>
      <c r="G115" s="2">
        <v>45293</v>
      </c>
      <c r="H115" s="1" t="s">
        <v>14</v>
      </c>
      <c r="I115" s="1" t="s">
        <v>66</v>
      </c>
      <c r="J115">
        <v>37.35</v>
      </c>
      <c r="K115" s="1">
        <v>45292</v>
      </c>
    </row>
    <row r="116" spans="1:11">
      <c r="A116" s="1" t="s">
        <v>166</v>
      </c>
      <c r="B116" s="1" t="s">
        <v>12</v>
      </c>
      <c r="C116" s="1" t="s">
        <v>13</v>
      </c>
      <c r="D116">
        <v>18</v>
      </c>
      <c r="E116">
        <v>150.19999999999999</v>
      </c>
      <c r="F116">
        <v>2703.6</v>
      </c>
      <c r="G116" s="2">
        <v>45408</v>
      </c>
      <c r="H116" s="1" t="s">
        <v>14</v>
      </c>
      <c r="I116" s="1" t="s">
        <v>15</v>
      </c>
      <c r="J116">
        <v>2703.6</v>
      </c>
      <c r="K116" s="1">
        <v>45383</v>
      </c>
    </row>
    <row r="117" spans="1:11">
      <c r="A117" s="1" t="s">
        <v>167</v>
      </c>
      <c r="B117" s="1" t="s">
        <v>43</v>
      </c>
      <c r="C117" s="1" t="s">
        <v>13</v>
      </c>
      <c r="D117">
        <v>19</v>
      </c>
      <c r="E117">
        <v>174.66</v>
      </c>
      <c r="F117">
        <v>3318.54</v>
      </c>
      <c r="G117" s="2">
        <v>45516</v>
      </c>
      <c r="H117" s="1" t="s">
        <v>45</v>
      </c>
      <c r="I117" s="1" t="s">
        <v>58</v>
      </c>
      <c r="J117">
        <v>3318.54</v>
      </c>
      <c r="K117" s="1">
        <v>45505</v>
      </c>
    </row>
    <row r="118" spans="1:11">
      <c r="A118" s="1" t="s">
        <v>168</v>
      </c>
      <c r="B118" s="1" t="s">
        <v>31</v>
      </c>
      <c r="C118" s="1" t="s">
        <v>32</v>
      </c>
      <c r="D118">
        <v>15</v>
      </c>
      <c r="E118">
        <v>194.47</v>
      </c>
      <c r="F118">
        <v>2917.05</v>
      </c>
      <c r="G118" s="2">
        <v>45542</v>
      </c>
      <c r="H118" s="1" t="s">
        <v>35</v>
      </c>
      <c r="I118" s="1" t="s">
        <v>66</v>
      </c>
      <c r="J118">
        <v>2917.05</v>
      </c>
      <c r="K118" s="1">
        <v>45536</v>
      </c>
    </row>
    <row r="119" spans="1:11">
      <c r="A119" s="1" t="s">
        <v>169</v>
      </c>
      <c r="B119" s="1" t="s">
        <v>40</v>
      </c>
      <c r="C119" s="1" t="s">
        <v>25</v>
      </c>
      <c r="D119">
        <v>16</v>
      </c>
      <c r="E119">
        <v>19.45</v>
      </c>
      <c r="F119">
        <v>311.2</v>
      </c>
      <c r="G119" s="2">
        <v>45299</v>
      </c>
      <c r="H119" s="1" t="s">
        <v>45</v>
      </c>
      <c r="I119" s="1" t="s">
        <v>85</v>
      </c>
      <c r="J119">
        <v>311.2</v>
      </c>
      <c r="K119" s="1">
        <v>45292</v>
      </c>
    </row>
    <row r="120" spans="1:11">
      <c r="A120" s="1" t="s">
        <v>170</v>
      </c>
      <c r="B120" s="1" t="s">
        <v>17</v>
      </c>
      <c r="C120" s="1" t="s">
        <v>18</v>
      </c>
      <c r="D120">
        <v>19</v>
      </c>
      <c r="E120">
        <v>9.39</v>
      </c>
      <c r="F120">
        <v>178.41</v>
      </c>
      <c r="G120" s="2">
        <v>45645</v>
      </c>
      <c r="H120" s="1" t="s">
        <v>14</v>
      </c>
      <c r="I120" s="1" t="s">
        <v>29</v>
      </c>
      <c r="J120">
        <v>178.41</v>
      </c>
      <c r="K120" s="1">
        <v>45627</v>
      </c>
    </row>
    <row r="121" spans="1:11">
      <c r="A121" s="1" t="s">
        <v>171</v>
      </c>
      <c r="B121" s="1" t="s">
        <v>56</v>
      </c>
      <c r="C121" s="1" t="s">
        <v>57</v>
      </c>
      <c r="D121">
        <v>12</v>
      </c>
      <c r="E121">
        <v>38.94</v>
      </c>
      <c r="F121">
        <v>467.28</v>
      </c>
      <c r="G121" s="2">
        <v>45653</v>
      </c>
      <c r="H121" s="1" t="s">
        <v>45</v>
      </c>
      <c r="I121" s="1" t="s">
        <v>15</v>
      </c>
      <c r="J121">
        <v>467.28</v>
      </c>
      <c r="K121" s="1">
        <v>45627</v>
      </c>
    </row>
    <row r="122" spans="1:11">
      <c r="A122" s="1" t="s">
        <v>172</v>
      </c>
      <c r="B122" s="1" t="s">
        <v>21</v>
      </c>
      <c r="C122" s="1" t="s">
        <v>22</v>
      </c>
      <c r="D122">
        <v>1</v>
      </c>
      <c r="E122">
        <v>6771.79</v>
      </c>
      <c r="F122">
        <v>6771.79</v>
      </c>
      <c r="G122" s="2">
        <v>45392</v>
      </c>
      <c r="H122" s="1" t="s">
        <v>14</v>
      </c>
      <c r="I122" s="1" t="s">
        <v>47</v>
      </c>
      <c r="J122">
        <v>6771.79</v>
      </c>
      <c r="K122" s="1">
        <v>45383</v>
      </c>
    </row>
    <row r="123" spans="1:11">
      <c r="A123" s="1" t="s">
        <v>173</v>
      </c>
      <c r="B123" s="1" t="s">
        <v>43</v>
      </c>
      <c r="C123" s="1" t="s">
        <v>13</v>
      </c>
      <c r="D123">
        <v>2</v>
      </c>
      <c r="E123">
        <v>186.73</v>
      </c>
      <c r="F123">
        <v>373.46</v>
      </c>
      <c r="G123" s="2">
        <v>45462</v>
      </c>
      <c r="H123" s="1" t="s">
        <v>35</v>
      </c>
      <c r="I123" s="1" t="s">
        <v>27</v>
      </c>
      <c r="J123">
        <v>373.46</v>
      </c>
      <c r="K123" s="1">
        <v>45444</v>
      </c>
    </row>
    <row r="124" spans="1:11">
      <c r="A124" s="1" t="s">
        <v>174</v>
      </c>
      <c r="B124" s="1" t="s">
        <v>17</v>
      </c>
      <c r="C124" s="1" t="s">
        <v>18</v>
      </c>
      <c r="D124">
        <v>16</v>
      </c>
      <c r="E124">
        <v>12.78</v>
      </c>
      <c r="F124">
        <v>204.48</v>
      </c>
      <c r="G124" s="2">
        <v>45342</v>
      </c>
      <c r="H124" s="1" t="s">
        <v>19</v>
      </c>
      <c r="I124" s="1" t="s">
        <v>33</v>
      </c>
      <c r="J124">
        <v>204.48</v>
      </c>
      <c r="K124" s="1">
        <v>45323</v>
      </c>
    </row>
    <row r="125" spans="1:11">
      <c r="A125" s="1" t="s">
        <v>175</v>
      </c>
      <c r="B125" s="1" t="s">
        <v>24</v>
      </c>
      <c r="C125" s="1" t="s">
        <v>25</v>
      </c>
      <c r="D125">
        <v>1</v>
      </c>
      <c r="E125">
        <v>2.72</v>
      </c>
      <c r="F125">
        <v>2.72</v>
      </c>
      <c r="G125" s="2">
        <v>45381</v>
      </c>
      <c r="H125" s="1" t="s">
        <v>26</v>
      </c>
      <c r="I125" s="1" t="s">
        <v>135</v>
      </c>
      <c r="J125">
        <v>2.72</v>
      </c>
      <c r="K125" s="1">
        <v>45352</v>
      </c>
    </row>
    <row r="126" spans="1:11">
      <c r="A126" s="1" t="s">
        <v>176</v>
      </c>
      <c r="B126" s="1" t="s">
        <v>12</v>
      </c>
      <c r="C126" s="1" t="s">
        <v>13</v>
      </c>
      <c r="D126">
        <v>6</v>
      </c>
      <c r="E126">
        <v>118.67</v>
      </c>
      <c r="F126">
        <v>712.02</v>
      </c>
      <c r="G126" s="2">
        <v>45311</v>
      </c>
      <c r="H126" s="1" t="s">
        <v>14</v>
      </c>
      <c r="I126" s="1" t="s">
        <v>98</v>
      </c>
      <c r="J126">
        <v>712.02</v>
      </c>
      <c r="K126" s="1">
        <v>45292</v>
      </c>
    </row>
    <row r="127" spans="1:11">
      <c r="A127" s="1" t="s">
        <v>177</v>
      </c>
      <c r="B127" s="1" t="s">
        <v>62</v>
      </c>
      <c r="C127" s="1" t="s">
        <v>32</v>
      </c>
      <c r="D127">
        <v>4</v>
      </c>
      <c r="E127">
        <v>994.88</v>
      </c>
      <c r="F127">
        <v>3979.52</v>
      </c>
      <c r="G127" s="2">
        <v>45385</v>
      </c>
      <c r="H127" s="1" t="s">
        <v>26</v>
      </c>
      <c r="I127" s="1" t="s">
        <v>81</v>
      </c>
      <c r="J127">
        <v>3979.52</v>
      </c>
      <c r="K127" s="1">
        <v>45383</v>
      </c>
    </row>
    <row r="128" spans="1:11">
      <c r="A128" s="1" t="s">
        <v>178</v>
      </c>
      <c r="B128" s="1" t="s">
        <v>40</v>
      </c>
      <c r="C128" s="1" t="s">
        <v>25</v>
      </c>
      <c r="D128">
        <v>3</v>
      </c>
      <c r="E128">
        <v>18.63</v>
      </c>
      <c r="F128">
        <v>55.89</v>
      </c>
      <c r="G128" s="2">
        <v>45423</v>
      </c>
      <c r="H128" s="1" t="s">
        <v>19</v>
      </c>
      <c r="I128" s="1" t="s">
        <v>135</v>
      </c>
      <c r="J128">
        <v>55.89</v>
      </c>
      <c r="K128" s="1">
        <v>45413</v>
      </c>
    </row>
    <row r="129" spans="1:11">
      <c r="A129" s="1" t="s">
        <v>179</v>
      </c>
      <c r="B129" s="1" t="s">
        <v>17</v>
      </c>
      <c r="C129" s="1" t="s">
        <v>18</v>
      </c>
      <c r="D129">
        <v>8</v>
      </c>
      <c r="E129">
        <v>12.92</v>
      </c>
      <c r="F129">
        <v>103.36</v>
      </c>
      <c r="G129" s="2">
        <v>45504</v>
      </c>
      <c r="H129" s="1" t="s">
        <v>26</v>
      </c>
      <c r="I129" s="1" t="s">
        <v>47</v>
      </c>
      <c r="J129">
        <v>103.36</v>
      </c>
      <c r="K129" s="1">
        <v>45474</v>
      </c>
    </row>
    <row r="130" spans="1:11">
      <c r="A130" s="1" t="s">
        <v>180</v>
      </c>
      <c r="B130" s="1" t="s">
        <v>40</v>
      </c>
      <c r="C130" s="1" t="s">
        <v>25</v>
      </c>
      <c r="D130">
        <v>10</v>
      </c>
      <c r="E130">
        <v>14.97</v>
      </c>
      <c r="F130">
        <v>149.69999999999999</v>
      </c>
      <c r="G130" s="2">
        <v>45413</v>
      </c>
      <c r="H130" s="1" t="s">
        <v>45</v>
      </c>
      <c r="I130" s="1" t="s">
        <v>58</v>
      </c>
      <c r="J130">
        <v>149.69999999999999</v>
      </c>
      <c r="K130" s="1">
        <v>45413</v>
      </c>
    </row>
    <row r="131" spans="1:11">
      <c r="A131" s="1" t="s">
        <v>181</v>
      </c>
      <c r="B131" s="1" t="s">
        <v>56</v>
      </c>
      <c r="C131" s="1" t="s">
        <v>57</v>
      </c>
      <c r="D131">
        <v>10</v>
      </c>
      <c r="E131">
        <v>26.48</v>
      </c>
      <c r="F131">
        <v>264.8</v>
      </c>
      <c r="G131" s="2">
        <v>45402</v>
      </c>
      <c r="H131" s="1" t="s">
        <v>19</v>
      </c>
      <c r="I131" s="1" t="s">
        <v>27</v>
      </c>
      <c r="J131">
        <v>264.8</v>
      </c>
      <c r="K131" s="1">
        <v>45383</v>
      </c>
    </row>
    <row r="132" spans="1:11">
      <c r="A132" s="1" t="s">
        <v>182</v>
      </c>
      <c r="B132" s="1" t="s">
        <v>54</v>
      </c>
      <c r="C132" s="1" t="s">
        <v>32</v>
      </c>
      <c r="D132">
        <v>11</v>
      </c>
      <c r="E132">
        <v>301.04000000000002</v>
      </c>
      <c r="F132">
        <v>3311.44</v>
      </c>
      <c r="G132" s="2">
        <v>45430</v>
      </c>
      <c r="H132" s="1" t="s">
        <v>45</v>
      </c>
      <c r="I132" s="1" t="s">
        <v>27</v>
      </c>
      <c r="J132">
        <v>3311.44</v>
      </c>
      <c r="K132" s="1">
        <v>45413</v>
      </c>
    </row>
    <row r="133" spans="1:11">
      <c r="A133" s="1" t="s">
        <v>183</v>
      </c>
      <c r="B133" s="1" t="s">
        <v>17</v>
      </c>
      <c r="C133" s="1" t="s">
        <v>18</v>
      </c>
      <c r="D133">
        <v>16</v>
      </c>
      <c r="E133">
        <v>13.81</v>
      </c>
      <c r="F133">
        <v>220.96</v>
      </c>
      <c r="G133" s="2">
        <v>45642</v>
      </c>
      <c r="H133" s="1" t="s">
        <v>26</v>
      </c>
      <c r="I133" s="1" t="s">
        <v>27</v>
      </c>
      <c r="J133">
        <v>220.96</v>
      </c>
      <c r="K133" s="1">
        <v>45627</v>
      </c>
    </row>
    <row r="134" spans="1:11">
      <c r="A134" s="1" t="s">
        <v>184</v>
      </c>
      <c r="B134" s="1" t="s">
        <v>21</v>
      </c>
      <c r="C134" s="1" t="s">
        <v>22</v>
      </c>
      <c r="D134">
        <v>1</v>
      </c>
      <c r="E134">
        <v>8878.61</v>
      </c>
      <c r="F134">
        <v>8878.61</v>
      </c>
      <c r="G134" s="2">
        <v>45555</v>
      </c>
      <c r="H134" s="1" t="s">
        <v>45</v>
      </c>
      <c r="I134" s="1" t="s">
        <v>135</v>
      </c>
      <c r="J134">
        <v>8878.61</v>
      </c>
      <c r="K134" s="1">
        <v>45536</v>
      </c>
    </row>
    <row r="135" spans="1:11">
      <c r="A135" s="1" t="s">
        <v>185</v>
      </c>
      <c r="B135" s="1" t="s">
        <v>62</v>
      </c>
      <c r="C135" s="1" t="s">
        <v>32</v>
      </c>
      <c r="D135">
        <v>17</v>
      </c>
      <c r="E135">
        <v>830.68</v>
      </c>
      <c r="F135">
        <v>14121.56</v>
      </c>
      <c r="G135" s="2">
        <v>45403</v>
      </c>
      <c r="H135" s="1" t="s">
        <v>35</v>
      </c>
      <c r="I135" s="1" t="s">
        <v>36</v>
      </c>
      <c r="J135">
        <v>14121.56</v>
      </c>
      <c r="K135" s="1">
        <v>45383</v>
      </c>
    </row>
    <row r="136" spans="1:11">
      <c r="A136" s="1" t="s">
        <v>186</v>
      </c>
      <c r="B136" s="1" t="s">
        <v>12</v>
      </c>
      <c r="C136" s="1" t="s">
        <v>13</v>
      </c>
      <c r="D136">
        <v>5</v>
      </c>
      <c r="E136">
        <v>106.3</v>
      </c>
      <c r="F136">
        <v>531.5</v>
      </c>
      <c r="G136" s="2">
        <v>45654</v>
      </c>
      <c r="H136" s="1" t="s">
        <v>19</v>
      </c>
      <c r="I136" s="1" t="s">
        <v>98</v>
      </c>
      <c r="J136">
        <v>531.5</v>
      </c>
      <c r="K136" s="1">
        <v>45627</v>
      </c>
    </row>
    <row r="137" spans="1:11">
      <c r="A137" s="1" t="s">
        <v>187</v>
      </c>
      <c r="B137" s="1" t="s">
        <v>40</v>
      </c>
      <c r="C137" s="1" t="s">
        <v>25</v>
      </c>
      <c r="D137">
        <v>5</v>
      </c>
      <c r="E137">
        <v>14.07</v>
      </c>
      <c r="F137">
        <v>70.349999999999994</v>
      </c>
      <c r="G137" s="2">
        <v>45405</v>
      </c>
      <c r="H137" s="1" t="s">
        <v>14</v>
      </c>
      <c r="I137" s="1" t="s">
        <v>81</v>
      </c>
      <c r="J137">
        <v>70.349999999999994</v>
      </c>
      <c r="K137" s="1">
        <v>45383</v>
      </c>
    </row>
    <row r="138" spans="1:11">
      <c r="A138" s="1" t="s">
        <v>188</v>
      </c>
      <c r="B138" s="1" t="s">
        <v>62</v>
      </c>
      <c r="C138" s="1" t="s">
        <v>32</v>
      </c>
      <c r="D138">
        <v>13</v>
      </c>
      <c r="E138">
        <v>825.83</v>
      </c>
      <c r="F138">
        <v>10735.79</v>
      </c>
      <c r="G138" s="2">
        <v>45365</v>
      </c>
      <c r="H138" s="1" t="s">
        <v>19</v>
      </c>
      <c r="I138" s="1" t="s">
        <v>71</v>
      </c>
      <c r="J138">
        <v>10735.79</v>
      </c>
      <c r="K138" s="1">
        <v>45352</v>
      </c>
    </row>
    <row r="139" spans="1:11">
      <c r="A139" s="1" t="s">
        <v>189</v>
      </c>
      <c r="B139" s="1" t="s">
        <v>56</v>
      </c>
      <c r="C139" s="1" t="s">
        <v>57</v>
      </c>
      <c r="D139">
        <v>14</v>
      </c>
      <c r="E139">
        <v>44.92</v>
      </c>
      <c r="F139">
        <v>628.88</v>
      </c>
      <c r="G139" s="2">
        <v>45593</v>
      </c>
      <c r="H139" s="1" t="s">
        <v>26</v>
      </c>
      <c r="I139" s="1" t="s">
        <v>85</v>
      </c>
      <c r="J139">
        <v>628.88</v>
      </c>
      <c r="K139" s="1">
        <v>45566</v>
      </c>
    </row>
    <row r="140" spans="1:11">
      <c r="A140" s="1" t="s">
        <v>190</v>
      </c>
      <c r="B140" s="1" t="s">
        <v>54</v>
      </c>
      <c r="C140" s="1" t="s">
        <v>32</v>
      </c>
      <c r="D140">
        <v>13</v>
      </c>
      <c r="E140">
        <v>239.84</v>
      </c>
      <c r="F140">
        <v>3117.92</v>
      </c>
      <c r="G140" s="2">
        <v>45559</v>
      </c>
      <c r="H140" s="1" t="s">
        <v>45</v>
      </c>
      <c r="I140" s="1" t="s">
        <v>27</v>
      </c>
      <c r="J140">
        <v>3117.92</v>
      </c>
      <c r="K140" s="1">
        <v>45536</v>
      </c>
    </row>
    <row r="141" spans="1:11">
      <c r="A141" s="1" t="s">
        <v>191</v>
      </c>
      <c r="B141" s="1" t="s">
        <v>40</v>
      </c>
      <c r="C141" s="1" t="s">
        <v>25</v>
      </c>
      <c r="D141">
        <v>8</v>
      </c>
      <c r="E141">
        <v>11.53</v>
      </c>
      <c r="F141">
        <v>92.24</v>
      </c>
      <c r="G141" s="2">
        <v>45351</v>
      </c>
      <c r="H141" s="1" t="s">
        <v>35</v>
      </c>
      <c r="I141" s="1" t="s">
        <v>29</v>
      </c>
      <c r="J141">
        <v>92.24</v>
      </c>
      <c r="K141" s="1">
        <v>45323</v>
      </c>
    </row>
    <row r="142" spans="1:11">
      <c r="A142" s="1" t="s">
        <v>192</v>
      </c>
      <c r="B142" s="1" t="s">
        <v>21</v>
      </c>
      <c r="C142" s="1" t="s">
        <v>22</v>
      </c>
      <c r="D142">
        <v>1</v>
      </c>
      <c r="E142">
        <v>5452.69</v>
      </c>
      <c r="F142">
        <v>5452.69</v>
      </c>
      <c r="G142" s="2">
        <v>45424</v>
      </c>
      <c r="H142" s="1" t="s">
        <v>26</v>
      </c>
      <c r="I142" s="1" t="s">
        <v>29</v>
      </c>
      <c r="J142">
        <v>5452.69</v>
      </c>
      <c r="K142" s="1">
        <v>45413</v>
      </c>
    </row>
    <row r="143" spans="1:11">
      <c r="A143" s="1" t="s">
        <v>193</v>
      </c>
      <c r="B143" s="1" t="s">
        <v>21</v>
      </c>
      <c r="C143" s="1" t="s">
        <v>22</v>
      </c>
      <c r="D143">
        <v>1</v>
      </c>
      <c r="E143">
        <v>6342.34</v>
      </c>
      <c r="F143">
        <v>6342.34</v>
      </c>
      <c r="G143" s="2">
        <v>45470</v>
      </c>
      <c r="H143" s="1" t="s">
        <v>19</v>
      </c>
      <c r="I143" s="1" t="s">
        <v>49</v>
      </c>
      <c r="J143">
        <v>6342.34</v>
      </c>
      <c r="K143" s="1">
        <v>45444</v>
      </c>
    </row>
    <row r="144" spans="1:11">
      <c r="A144" s="1" t="s">
        <v>194</v>
      </c>
      <c r="B144" s="1" t="s">
        <v>17</v>
      </c>
      <c r="C144" s="1" t="s">
        <v>18</v>
      </c>
      <c r="D144">
        <v>13</v>
      </c>
      <c r="E144">
        <v>8.92</v>
      </c>
      <c r="F144">
        <v>115.96</v>
      </c>
      <c r="G144" s="2">
        <v>45391</v>
      </c>
      <c r="H144" s="1" t="s">
        <v>14</v>
      </c>
      <c r="I144" s="1" t="s">
        <v>41</v>
      </c>
      <c r="J144">
        <v>115.96</v>
      </c>
      <c r="K144" s="1">
        <v>45383</v>
      </c>
    </row>
    <row r="145" spans="1:11">
      <c r="A145" s="1" t="s">
        <v>195</v>
      </c>
      <c r="B145" s="1" t="s">
        <v>56</v>
      </c>
      <c r="C145" s="1" t="s">
        <v>57</v>
      </c>
      <c r="D145">
        <v>18</v>
      </c>
      <c r="E145">
        <v>41.98</v>
      </c>
      <c r="F145">
        <v>755.64</v>
      </c>
      <c r="G145" s="2">
        <v>45455</v>
      </c>
      <c r="H145" s="1" t="s">
        <v>14</v>
      </c>
      <c r="I145" s="1" t="s">
        <v>15</v>
      </c>
      <c r="J145">
        <v>755.64</v>
      </c>
      <c r="K145" s="1">
        <v>45444</v>
      </c>
    </row>
    <row r="146" spans="1:11">
      <c r="A146" s="1" t="s">
        <v>196</v>
      </c>
      <c r="B146" s="1" t="s">
        <v>12</v>
      </c>
      <c r="C146" s="1" t="s">
        <v>13</v>
      </c>
      <c r="D146">
        <v>9</v>
      </c>
      <c r="E146">
        <v>117.69</v>
      </c>
      <c r="F146">
        <v>1059.21</v>
      </c>
      <c r="G146" s="2">
        <v>45623</v>
      </c>
      <c r="H146" s="1" t="s">
        <v>19</v>
      </c>
      <c r="I146" s="1" t="s">
        <v>49</v>
      </c>
      <c r="J146">
        <v>1059.21</v>
      </c>
      <c r="K146" s="1">
        <v>45597</v>
      </c>
    </row>
    <row r="147" spans="1:11">
      <c r="A147" s="1" t="s">
        <v>197</v>
      </c>
      <c r="B147" s="1" t="s">
        <v>12</v>
      </c>
      <c r="C147" s="1" t="s">
        <v>13</v>
      </c>
      <c r="D147">
        <v>18</v>
      </c>
      <c r="E147">
        <v>108.01</v>
      </c>
      <c r="F147">
        <v>1944.18</v>
      </c>
      <c r="G147" s="2">
        <v>45637</v>
      </c>
      <c r="H147" s="1" t="s">
        <v>35</v>
      </c>
      <c r="I147" s="1" t="s">
        <v>29</v>
      </c>
      <c r="J147">
        <v>1944.18</v>
      </c>
      <c r="K147" s="1">
        <v>45627</v>
      </c>
    </row>
    <row r="148" spans="1:11">
      <c r="A148" s="1" t="s">
        <v>198</v>
      </c>
      <c r="B148" s="1" t="s">
        <v>12</v>
      </c>
      <c r="C148" s="1" t="s">
        <v>13</v>
      </c>
      <c r="D148">
        <v>16</v>
      </c>
      <c r="E148">
        <v>132.19999999999999</v>
      </c>
      <c r="F148">
        <v>2115.1999999999998</v>
      </c>
      <c r="G148" s="2">
        <v>45591</v>
      </c>
      <c r="H148" s="1" t="s">
        <v>45</v>
      </c>
      <c r="I148" s="1" t="s">
        <v>81</v>
      </c>
      <c r="J148">
        <v>2115.1999999999998</v>
      </c>
      <c r="K148" s="1">
        <v>45566</v>
      </c>
    </row>
    <row r="149" spans="1:11">
      <c r="A149" s="1" t="s">
        <v>199</v>
      </c>
      <c r="B149" s="1" t="s">
        <v>12</v>
      </c>
      <c r="C149" s="1" t="s">
        <v>13</v>
      </c>
      <c r="D149">
        <v>17</v>
      </c>
      <c r="E149">
        <v>128.36000000000001</v>
      </c>
      <c r="F149">
        <v>2182.12</v>
      </c>
      <c r="G149" s="2">
        <v>45576</v>
      </c>
      <c r="H149" s="1" t="s">
        <v>26</v>
      </c>
      <c r="I149" s="1" t="s">
        <v>81</v>
      </c>
      <c r="J149">
        <v>2182.12</v>
      </c>
      <c r="K149" s="1">
        <v>45566</v>
      </c>
    </row>
    <row r="150" spans="1:11">
      <c r="A150" s="1" t="s">
        <v>200</v>
      </c>
      <c r="B150" s="1" t="s">
        <v>31</v>
      </c>
      <c r="C150" s="1" t="s">
        <v>32</v>
      </c>
      <c r="D150">
        <v>5</v>
      </c>
      <c r="E150">
        <v>237.86</v>
      </c>
      <c r="F150">
        <v>1189.3</v>
      </c>
      <c r="G150" s="2">
        <v>45611</v>
      </c>
      <c r="H150" s="1" t="s">
        <v>19</v>
      </c>
      <c r="I150" s="1" t="s">
        <v>51</v>
      </c>
      <c r="J150">
        <v>1189.3</v>
      </c>
      <c r="K150" s="1">
        <v>45597</v>
      </c>
    </row>
    <row r="151" spans="1:11">
      <c r="A151" s="1" t="s">
        <v>201</v>
      </c>
      <c r="B151" s="1" t="s">
        <v>21</v>
      </c>
      <c r="C151" s="1" t="s">
        <v>22</v>
      </c>
      <c r="D151">
        <v>1</v>
      </c>
      <c r="E151">
        <v>8719.36</v>
      </c>
      <c r="F151">
        <v>8719.36</v>
      </c>
      <c r="G151" s="2">
        <v>45567</v>
      </c>
      <c r="H151" s="1" t="s">
        <v>35</v>
      </c>
      <c r="I151" s="1" t="s">
        <v>58</v>
      </c>
      <c r="J151">
        <v>8719.36</v>
      </c>
      <c r="K151" s="1">
        <v>45566</v>
      </c>
    </row>
    <row r="152" spans="1:11">
      <c r="A152" s="1" t="s">
        <v>202</v>
      </c>
      <c r="B152" s="1" t="s">
        <v>56</v>
      </c>
      <c r="C152" s="1" t="s">
        <v>57</v>
      </c>
      <c r="D152">
        <v>10</v>
      </c>
      <c r="E152">
        <v>32.96</v>
      </c>
      <c r="F152">
        <v>329.6</v>
      </c>
      <c r="G152" s="2">
        <v>45490</v>
      </c>
      <c r="H152" s="1" t="s">
        <v>35</v>
      </c>
      <c r="I152" s="1" t="s">
        <v>38</v>
      </c>
      <c r="J152">
        <v>329.6</v>
      </c>
      <c r="K152" s="1">
        <v>45474</v>
      </c>
    </row>
    <row r="153" spans="1:11">
      <c r="A153" s="1" t="s">
        <v>203</v>
      </c>
      <c r="B153" s="1" t="s">
        <v>21</v>
      </c>
      <c r="C153" s="1" t="s">
        <v>22</v>
      </c>
      <c r="D153">
        <v>1</v>
      </c>
      <c r="E153">
        <v>9331.61</v>
      </c>
      <c r="F153">
        <v>9331.61</v>
      </c>
      <c r="G153" s="2">
        <v>45505</v>
      </c>
      <c r="H153" s="1" t="s">
        <v>26</v>
      </c>
      <c r="I153" s="1" t="s">
        <v>66</v>
      </c>
      <c r="J153">
        <v>9331.61</v>
      </c>
      <c r="K153" s="1">
        <v>45505</v>
      </c>
    </row>
    <row r="154" spans="1:11">
      <c r="A154" s="1" t="s">
        <v>204</v>
      </c>
      <c r="B154" s="1" t="s">
        <v>62</v>
      </c>
      <c r="C154" s="1" t="s">
        <v>32</v>
      </c>
      <c r="D154">
        <v>2</v>
      </c>
      <c r="E154">
        <v>917.39</v>
      </c>
      <c r="F154">
        <v>1834.78</v>
      </c>
      <c r="G154" s="2">
        <v>45518</v>
      </c>
      <c r="H154" s="1" t="s">
        <v>19</v>
      </c>
      <c r="I154" s="1" t="s">
        <v>85</v>
      </c>
      <c r="J154">
        <v>1834.78</v>
      </c>
      <c r="K154" s="1">
        <v>45505</v>
      </c>
    </row>
    <row r="155" spans="1:11">
      <c r="A155" s="1" t="s">
        <v>205</v>
      </c>
      <c r="B155" s="1" t="s">
        <v>56</v>
      </c>
      <c r="C155" s="1" t="s">
        <v>57</v>
      </c>
      <c r="D155">
        <v>15</v>
      </c>
      <c r="E155">
        <v>21.46</v>
      </c>
      <c r="F155">
        <v>321.89999999999998</v>
      </c>
      <c r="G155" s="2">
        <v>45493</v>
      </c>
      <c r="H155" s="1" t="s">
        <v>19</v>
      </c>
      <c r="I155" s="1" t="s">
        <v>98</v>
      </c>
      <c r="J155">
        <v>321.89999999999998</v>
      </c>
      <c r="K155" s="1">
        <v>45474</v>
      </c>
    </row>
    <row r="156" spans="1:11">
      <c r="A156" s="1" t="s">
        <v>206</v>
      </c>
      <c r="B156" s="1" t="s">
        <v>56</v>
      </c>
      <c r="C156" s="1" t="s">
        <v>57</v>
      </c>
      <c r="D156">
        <v>11</v>
      </c>
      <c r="E156">
        <v>25.81</v>
      </c>
      <c r="F156">
        <v>283.91000000000003</v>
      </c>
      <c r="G156" s="2">
        <v>45364</v>
      </c>
      <c r="H156" s="1" t="s">
        <v>14</v>
      </c>
      <c r="I156" s="1" t="s">
        <v>36</v>
      </c>
      <c r="J156">
        <v>283.91000000000003</v>
      </c>
      <c r="K156" s="1">
        <v>45352</v>
      </c>
    </row>
    <row r="157" spans="1:11">
      <c r="A157" s="1" t="s">
        <v>207</v>
      </c>
      <c r="B157" s="1" t="s">
        <v>40</v>
      </c>
      <c r="C157" s="1" t="s">
        <v>25</v>
      </c>
      <c r="D157">
        <v>2</v>
      </c>
      <c r="E157">
        <v>13.97</v>
      </c>
      <c r="F157">
        <v>27.94</v>
      </c>
      <c r="G157" s="2">
        <v>45441</v>
      </c>
      <c r="H157" s="1" t="s">
        <v>26</v>
      </c>
      <c r="I157" s="1" t="s">
        <v>96</v>
      </c>
      <c r="J157">
        <v>27.94</v>
      </c>
      <c r="K157" s="1">
        <v>45413</v>
      </c>
    </row>
    <row r="158" spans="1:11">
      <c r="A158" s="1" t="s">
        <v>208</v>
      </c>
      <c r="B158" s="1" t="s">
        <v>21</v>
      </c>
      <c r="C158" s="1" t="s">
        <v>22</v>
      </c>
      <c r="D158">
        <v>1</v>
      </c>
      <c r="E158">
        <v>9193.59</v>
      </c>
      <c r="F158">
        <v>9193.59</v>
      </c>
      <c r="G158" s="2">
        <v>45500</v>
      </c>
      <c r="H158" s="1" t="s">
        <v>35</v>
      </c>
      <c r="I158" s="1" t="s">
        <v>47</v>
      </c>
      <c r="J158">
        <v>9193.59</v>
      </c>
      <c r="K158" s="1">
        <v>45474</v>
      </c>
    </row>
    <row r="159" spans="1:11">
      <c r="A159" s="1" t="s">
        <v>209</v>
      </c>
      <c r="B159" s="1" t="s">
        <v>24</v>
      </c>
      <c r="C159" s="1" t="s">
        <v>25</v>
      </c>
      <c r="D159">
        <v>16</v>
      </c>
      <c r="E159">
        <v>1.71</v>
      </c>
      <c r="F159">
        <v>27.36</v>
      </c>
      <c r="G159" s="2">
        <v>45357</v>
      </c>
      <c r="H159" s="1" t="s">
        <v>19</v>
      </c>
      <c r="I159" s="1" t="s">
        <v>15</v>
      </c>
      <c r="J159">
        <v>27.36</v>
      </c>
      <c r="K159" s="1">
        <v>45352</v>
      </c>
    </row>
    <row r="160" spans="1:11">
      <c r="A160" s="1" t="s">
        <v>210</v>
      </c>
      <c r="B160" s="1" t="s">
        <v>31</v>
      </c>
      <c r="C160" s="1" t="s">
        <v>32</v>
      </c>
      <c r="D160">
        <v>3</v>
      </c>
      <c r="E160">
        <v>291.77999999999997</v>
      </c>
      <c r="F160">
        <v>875.34</v>
      </c>
      <c r="G160" s="2">
        <v>45325</v>
      </c>
      <c r="H160" s="1" t="s">
        <v>35</v>
      </c>
      <c r="I160" s="1" t="s">
        <v>51</v>
      </c>
      <c r="J160">
        <v>875.34</v>
      </c>
      <c r="K160" s="1">
        <v>45323</v>
      </c>
    </row>
    <row r="161" spans="1:11">
      <c r="A161" s="1" t="s">
        <v>211</v>
      </c>
      <c r="B161" s="1" t="s">
        <v>12</v>
      </c>
      <c r="C161" s="1" t="s">
        <v>13</v>
      </c>
      <c r="D161">
        <v>18</v>
      </c>
      <c r="E161">
        <v>121.29</v>
      </c>
      <c r="F161">
        <v>2183.2199999999998</v>
      </c>
      <c r="G161" s="2">
        <v>45405</v>
      </c>
      <c r="H161" s="1" t="s">
        <v>35</v>
      </c>
      <c r="I161" s="1" t="s">
        <v>38</v>
      </c>
      <c r="J161">
        <v>2183.2199999999998</v>
      </c>
      <c r="K161" s="1">
        <v>45383</v>
      </c>
    </row>
    <row r="162" spans="1:11">
      <c r="A162" s="1" t="s">
        <v>212</v>
      </c>
      <c r="B162" s="1" t="s">
        <v>17</v>
      </c>
      <c r="C162" s="1" t="s">
        <v>18</v>
      </c>
      <c r="D162">
        <v>6</v>
      </c>
      <c r="E162">
        <v>6.38</v>
      </c>
      <c r="F162">
        <v>38.28</v>
      </c>
      <c r="G162" s="2">
        <v>45387</v>
      </c>
      <c r="H162" s="1" t="s">
        <v>35</v>
      </c>
      <c r="I162" s="1" t="s">
        <v>58</v>
      </c>
      <c r="J162">
        <v>38.28</v>
      </c>
      <c r="K162" s="1">
        <v>45383</v>
      </c>
    </row>
    <row r="163" spans="1:11">
      <c r="A163" s="1" t="s">
        <v>213</v>
      </c>
      <c r="B163" s="1" t="s">
        <v>17</v>
      </c>
      <c r="C163" s="1" t="s">
        <v>18</v>
      </c>
      <c r="D163">
        <v>11</v>
      </c>
      <c r="E163">
        <v>9.93</v>
      </c>
      <c r="F163">
        <v>109.23</v>
      </c>
      <c r="G163" s="2">
        <v>45456</v>
      </c>
      <c r="H163" s="1" t="s">
        <v>45</v>
      </c>
      <c r="I163" s="1" t="s">
        <v>58</v>
      </c>
      <c r="J163">
        <v>109.23</v>
      </c>
      <c r="K163" s="1">
        <v>45444</v>
      </c>
    </row>
    <row r="164" spans="1:11">
      <c r="A164" s="1" t="s">
        <v>214</v>
      </c>
      <c r="B164" s="1" t="s">
        <v>40</v>
      </c>
      <c r="C164" s="1" t="s">
        <v>25</v>
      </c>
      <c r="D164">
        <v>6</v>
      </c>
      <c r="E164">
        <v>19.54</v>
      </c>
      <c r="F164">
        <v>117.24</v>
      </c>
      <c r="G164" s="2">
        <v>45603</v>
      </c>
      <c r="H164" s="1" t="s">
        <v>35</v>
      </c>
      <c r="I164" s="1" t="s">
        <v>27</v>
      </c>
      <c r="J164">
        <v>117.24</v>
      </c>
      <c r="K164" s="1">
        <v>45597</v>
      </c>
    </row>
    <row r="165" spans="1:11">
      <c r="A165" s="1" t="s">
        <v>215</v>
      </c>
      <c r="B165" s="1" t="s">
        <v>21</v>
      </c>
      <c r="C165" s="1" t="s">
        <v>22</v>
      </c>
      <c r="D165">
        <v>1</v>
      </c>
      <c r="E165">
        <v>5335.46</v>
      </c>
      <c r="F165">
        <v>5335.46</v>
      </c>
      <c r="G165" s="2">
        <v>45441</v>
      </c>
      <c r="H165" s="1" t="s">
        <v>35</v>
      </c>
      <c r="I165" s="1" t="s">
        <v>85</v>
      </c>
      <c r="J165">
        <v>5335.46</v>
      </c>
      <c r="K165" s="1">
        <v>45413</v>
      </c>
    </row>
    <row r="166" spans="1:11">
      <c r="A166" s="1" t="s">
        <v>216</v>
      </c>
      <c r="B166" s="1" t="s">
        <v>31</v>
      </c>
      <c r="C166" s="1" t="s">
        <v>32</v>
      </c>
      <c r="D166">
        <v>6</v>
      </c>
      <c r="E166">
        <v>182.93</v>
      </c>
      <c r="F166">
        <v>1097.58</v>
      </c>
      <c r="G166" s="2">
        <v>45449</v>
      </c>
      <c r="H166" s="1" t="s">
        <v>19</v>
      </c>
      <c r="I166" s="1" t="s">
        <v>36</v>
      </c>
      <c r="J166">
        <v>1097.58</v>
      </c>
      <c r="K166" s="1">
        <v>45444</v>
      </c>
    </row>
    <row r="167" spans="1:11">
      <c r="A167" s="1" t="s">
        <v>217</v>
      </c>
      <c r="B167" s="1" t="s">
        <v>62</v>
      </c>
      <c r="C167" s="1" t="s">
        <v>32</v>
      </c>
      <c r="D167">
        <v>4</v>
      </c>
      <c r="E167">
        <v>955.86</v>
      </c>
      <c r="F167">
        <v>3823.44</v>
      </c>
      <c r="G167" s="2">
        <v>45424</v>
      </c>
      <c r="H167" s="1" t="s">
        <v>19</v>
      </c>
      <c r="I167" s="1" t="s">
        <v>135</v>
      </c>
      <c r="J167">
        <v>3823.44</v>
      </c>
      <c r="K167" s="1">
        <v>45413</v>
      </c>
    </row>
    <row r="168" spans="1:11">
      <c r="A168" s="1" t="s">
        <v>218</v>
      </c>
      <c r="B168" s="1" t="s">
        <v>56</v>
      </c>
      <c r="C168" s="1" t="s">
        <v>57</v>
      </c>
      <c r="D168">
        <v>7</v>
      </c>
      <c r="E168">
        <v>35.33</v>
      </c>
      <c r="F168">
        <v>247.31</v>
      </c>
      <c r="G168" s="2">
        <v>45512</v>
      </c>
      <c r="H168" s="1" t="s">
        <v>19</v>
      </c>
      <c r="I168" s="1" t="s">
        <v>51</v>
      </c>
      <c r="J168">
        <v>247.31</v>
      </c>
      <c r="K168" s="1">
        <v>45505</v>
      </c>
    </row>
    <row r="169" spans="1:11">
      <c r="A169" s="1" t="s">
        <v>219</v>
      </c>
      <c r="B169" s="1" t="s">
        <v>56</v>
      </c>
      <c r="C169" s="1" t="s">
        <v>57</v>
      </c>
      <c r="D169">
        <v>7</v>
      </c>
      <c r="E169">
        <v>42.79</v>
      </c>
      <c r="F169">
        <v>299.52999999999997</v>
      </c>
      <c r="G169" s="2">
        <v>45447</v>
      </c>
      <c r="H169" s="1" t="s">
        <v>45</v>
      </c>
      <c r="I169" s="1" t="s">
        <v>51</v>
      </c>
      <c r="J169">
        <v>299.52999999999997</v>
      </c>
      <c r="K169" s="1">
        <v>45444</v>
      </c>
    </row>
    <row r="170" spans="1:11">
      <c r="A170" s="1" t="s">
        <v>220</v>
      </c>
      <c r="B170" s="1" t="s">
        <v>54</v>
      </c>
      <c r="C170" s="1" t="s">
        <v>32</v>
      </c>
      <c r="D170">
        <v>9</v>
      </c>
      <c r="E170">
        <v>285.63</v>
      </c>
      <c r="F170">
        <v>2570.67</v>
      </c>
      <c r="G170" s="2">
        <v>45623</v>
      </c>
      <c r="H170" s="1" t="s">
        <v>14</v>
      </c>
      <c r="I170" s="1" t="s">
        <v>98</v>
      </c>
      <c r="J170">
        <v>2570.67</v>
      </c>
      <c r="K170" s="1">
        <v>45597</v>
      </c>
    </row>
    <row r="171" spans="1:11">
      <c r="A171" s="1" t="s">
        <v>221</v>
      </c>
      <c r="B171" s="1" t="s">
        <v>62</v>
      </c>
      <c r="C171" s="1" t="s">
        <v>32</v>
      </c>
      <c r="D171">
        <v>6</v>
      </c>
      <c r="E171">
        <v>941.67</v>
      </c>
      <c r="F171">
        <v>5650.02</v>
      </c>
      <c r="G171" s="2">
        <v>45379</v>
      </c>
      <c r="H171" s="1" t="s">
        <v>19</v>
      </c>
      <c r="I171" s="1" t="s">
        <v>47</v>
      </c>
      <c r="J171">
        <v>5650.02</v>
      </c>
      <c r="K171" s="1">
        <v>45352</v>
      </c>
    </row>
    <row r="172" spans="1:11">
      <c r="A172" s="1" t="s">
        <v>222</v>
      </c>
      <c r="B172" s="1" t="s">
        <v>12</v>
      </c>
      <c r="C172" s="1" t="s">
        <v>13</v>
      </c>
      <c r="D172">
        <v>3</v>
      </c>
      <c r="E172">
        <v>117.51</v>
      </c>
      <c r="F172">
        <v>352.53</v>
      </c>
      <c r="G172" s="2">
        <v>45403</v>
      </c>
      <c r="H172" s="1" t="s">
        <v>35</v>
      </c>
      <c r="I172" s="1" t="s">
        <v>51</v>
      </c>
      <c r="J172">
        <v>352.53</v>
      </c>
      <c r="K172" s="1">
        <v>45383</v>
      </c>
    </row>
    <row r="173" spans="1:11">
      <c r="A173" s="1" t="s">
        <v>223</v>
      </c>
      <c r="B173" s="1" t="s">
        <v>12</v>
      </c>
      <c r="C173" s="1" t="s">
        <v>13</v>
      </c>
      <c r="D173">
        <v>6</v>
      </c>
      <c r="E173">
        <v>168.75</v>
      </c>
      <c r="F173">
        <v>1012.5</v>
      </c>
      <c r="G173" s="2">
        <v>45493</v>
      </c>
      <c r="H173" s="1" t="s">
        <v>45</v>
      </c>
      <c r="I173" s="1" t="s">
        <v>29</v>
      </c>
      <c r="J173">
        <v>1012.5</v>
      </c>
      <c r="K173" s="1">
        <v>45474</v>
      </c>
    </row>
    <row r="174" spans="1:11">
      <c r="A174" s="1" t="s">
        <v>224</v>
      </c>
      <c r="B174" s="1" t="s">
        <v>12</v>
      </c>
      <c r="C174" s="1" t="s">
        <v>13</v>
      </c>
      <c r="D174">
        <v>14</v>
      </c>
      <c r="E174">
        <v>128.44</v>
      </c>
      <c r="F174">
        <v>1798.16</v>
      </c>
      <c r="G174" s="2">
        <v>45450</v>
      </c>
      <c r="H174" s="1" t="s">
        <v>26</v>
      </c>
      <c r="I174" s="1" t="s">
        <v>58</v>
      </c>
      <c r="J174">
        <v>1798.16</v>
      </c>
      <c r="K174" s="1">
        <v>45444</v>
      </c>
    </row>
    <row r="175" spans="1:11">
      <c r="A175" s="1" t="s">
        <v>225</v>
      </c>
      <c r="B175" s="1" t="s">
        <v>56</v>
      </c>
      <c r="C175" s="1" t="s">
        <v>57</v>
      </c>
      <c r="D175">
        <v>10</v>
      </c>
      <c r="E175">
        <v>40.54</v>
      </c>
      <c r="F175">
        <v>405.4</v>
      </c>
      <c r="G175" s="2">
        <v>45562</v>
      </c>
      <c r="H175" s="1" t="s">
        <v>35</v>
      </c>
      <c r="I175" s="1" t="s">
        <v>60</v>
      </c>
      <c r="J175">
        <v>405.4</v>
      </c>
      <c r="K175" s="1">
        <v>45536</v>
      </c>
    </row>
    <row r="176" spans="1:11">
      <c r="A176" s="1" t="s">
        <v>226</v>
      </c>
      <c r="B176" s="1" t="s">
        <v>21</v>
      </c>
      <c r="C176" s="1" t="s">
        <v>22</v>
      </c>
      <c r="D176">
        <v>1</v>
      </c>
      <c r="E176">
        <v>9836.5300000000007</v>
      </c>
      <c r="F176">
        <v>9836.5300000000007</v>
      </c>
      <c r="G176" s="2">
        <v>45622</v>
      </c>
      <c r="H176" s="1" t="s">
        <v>14</v>
      </c>
      <c r="I176" s="1" t="s">
        <v>58</v>
      </c>
      <c r="J176">
        <v>9836.5300000000007</v>
      </c>
      <c r="K176" s="1">
        <v>45597</v>
      </c>
    </row>
    <row r="177" spans="1:11">
      <c r="A177" s="1" t="s">
        <v>227</v>
      </c>
      <c r="B177" s="1" t="s">
        <v>54</v>
      </c>
      <c r="C177" s="1" t="s">
        <v>32</v>
      </c>
      <c r="D177">
        <v>12</v>
      </c>
      <c r="E177">
        <v>333.18</v>
      </c>
      <c r="F177">
        <v>3998.16</v>
      </c>
      <c r="G177" s="2">
        <v>45649</v>
      </c>
      <c r="H177" s="1" t="s">
        <v>14</v>
      </c>
      <c r="I177" s="1" t="s">
        <v>87</v>
      </c>
      <c r="J177">
        <v>3998.16</v>
      </c>
      <c r="K177" s="1">
        <v>45627</v>
      </c>
    </row>
    <row r="178" spans="1:11">
      <c r="A178" s="1" t="s">
        <v>228</v>
      </c>
      <c r="B178" s="1" t="s">
        <v>24</v>
      </c>
      <c r="C178" s="1" t="s">
        <v>25</v>
      </c>
      <c r="D178">
        <v>17</v>
      </c>
      <c r="E178">
        <v>1.86</v>
      </c>
      <c r="F178">
        <v>31.62</v>
      </c>
      <c r="G178" s="2">
        <v>45606</v>
      </c>
      <c r="H178" s="1" t="s">
        <v>19</v>
      </c>
      <c r="I178" s="1" t="s">
        <v>81</v>
      </c>
      <c r="J178">
        <v>31.62</v>
      </c>
      <c r="K178" s="1">
        <v>45597</v>
      </c>
    </row>
    <row r="179" spans="1:11">
      <c r="A179" s="1" t="s">
        <v>229</v>
      </c>
      <c r="B179" s="1" t="s">
        <v>17</v>
      </c>
      <c r="C179" s="1" t="s">
        <v>18</v>
      </c>
      <c r="D179">
        <v>15</v>
      </c>
      <c r="E179">
        <v>6.83</v>
      </c>
      <c r="F179">
        <v>102.45</v>
      </c>
      <c r="G179" s="2">
        <v>45362</v>
      </c>
      <c r="H179" s="1" t="s">
        <v>45</v>
      </c>
      <c r="I179" s="1" t="s">
        <v>60</v>
      </c>
      <c r="J179">
        <v>102.45</v>
      </c>
      <c r="K179" s="1">
        <v>45352</v>
      </c>
    </row>
    <row r="180" spans="1:11">
      <c r="A180" s="1" t="s">
        <v>230</v>
      </c>
      <c r="B180" s="1" t="s">
        <v>43</v>
      </c>
      <c r="C180" s="1" t="s">
        <v>13</v>
      </c>
      <c r="D180">
        <v>4</v>
      </c>
      <c r="E180">
        <v>132.46</v>
      </c>
      <c r="F180">
        <v>529.84</v>
      </c>
      <c r="G180" s="2">
        <v>45639</v>
      </c>
      <c r="H180" s="1" t="s">
        <v>19</v>
      </c>
      <c r="I180" s="1" t="s">
        <v>33</v>
      </c>
      <c r="J180">
        <v>529.84</v>
      </c>
      <c r="K180" s="1">
        <v>45627</v>
      </c>
    </row>
    <row r="181" spans="1:11">
      <c r="A181" s="1" t="s">
        <v>231</v>
      </c>
      <c r="B181" s="1" t="s">
        <v>62</v>
      </c>
      <c r="C181" s="1" t="s">
        <v>32</v>
      </c>
      <c r="D181">
        <v>8</v>
      </c>
      <c r="E181">
        <v>851.63</v>
      </c>
      <c r="F181">
        <v>6813.04</v>
      </c>
      <c r="G181" s="2">
        <v>45496</v>
      </c>
      <c r="H181" s="1" t="s">
        <v>14</v>
      </c>
      <c r="I181" s="1" t="s">
        <v>51</v>
      </c>
      <c r="J181">
        <v>6813.04</v>
      </c>
      <c r="K181" s="1">
        <v>45474</v>
      </c>
    </row>
    <row r="182" spans="1:11">
      <c r="A182" s="1" t="s">
        <v>232</v>
      </c>
      <c r="B182" s="1" t="s">
        <v>62</v>
      </c>
      <c r="C182" s="1" t="s">
        <v>32</v>
      </c>
      <c r="D182">
        <v>8</v>
      </c>
      <c r="E182">
        <v>840.47</v>
      </c>
      <c r="F182">
        <v>6723.76</v>
      </c>
      <c r="G182" s="2">
        <v>45622</v>
      </c>
      <c r="H182" s="1" t="s">
        <v>35</v>
      </c>
      <c r="I182" s="1" t="s">
        <v>49</v>
      </c>
      <c r="J182">
        <v>6723.76</v>
      </c>
      <c r="K182" s="1">
        <v>45597</v>
      </c>
    </row>
    <row r="183" spans="1:11">
      <c r="A183" s="1" t="s">
        <v>233</v>
      </c>
      <c r="B183" s="1" t="s">
        <v>24</v>
      </c>
      <c r="C183" s="1" t="s">
        <v>25</v>
      </c>
      <c r="D183">
        <v>11</v>
      </c>
      <c r="E183">
        <v>2.1</v>
      </c>
      <c r="F183">
        <v>23.1</v>
      </c>
      <c r="G183" s="2">
        <v>45488</v>
      </c>
      <c r="H183" s="1" t="s">
        <v>26</v>
      </c>
      <c r="I183" s="1" t="s">
        <v>81</v>
      </c>
      <c r="J183">
        <v>23.1</v>
      </c>
      <c r="K183" s="1">
        <v>45474</v>
      </c>
    </row>
    <row r="184" spans="1:11">
      <c r="A184" s="1" t="s">
        <v>234</v>
      </c>
      <c r="B184" s="1" t="s">
        <v>12</v>
      </c>
      <c r="C184" s="1" t="s">
        <v>13</v>
      </c>
      <c r="D184">
        <v>20</v>
      </c>
      <c r="E184">
        <v>187.22</v>
      </c>
      <c r="F184">
        <v>3744.4</v>
      </c>
      <c r="G184" s="2">
        <v>45537</v>
      </c>
      <c r="H184" s="1" t="s">
        <v>26</v>
      </c>
      <c r="I184" s="1" t="s">
        <v>58</v>
      </c>
      <c r="J184">
        <v>3744.4</v>
      </c>
      <c r="K184" s="1">
        <v>45536</v>
      </c>
    </row>
    <row r="185" spans="1:11">
      <c r="A185" s="1" t="s">
        <v>235</v>
      </c>
      <c r="B185" s="1" t="s">
        <v>21</v>
      </c>
      <c r="C185" s="1" t="s">
        <v>22</v>
      </c>
      <c r="D185">
        <v>1</v>
      </c>
      <c r="E185">
        <v>9909.24</v>
      </c>
      <c r="F185">
        <v>9909.24</v>
      </c>
      <c r="G185" s="2">
        <v>45463</v>
      </c>
      <c r="H185" s="1" t="s">
        <v>35</v>
      </c>
      <c r="I185" s="1" t="s">
        <v>98</v>
      </c>
      <c r="J185">
        <v>9909.24</v>
      </c>
      <c r="K185" s="1">
        <v>45444</v>
      </c>
    </row>
    <row r="186" spans="1:11">
      <c r="A186" s="1" t="s">
        <v>236</v>
      </c>
      <c r="B186" s="1" t="s">
        <v>43</v>
      </c>
      <c r="C186" s="1" t="s">
        <v>13</v>
      </c>
      <c r="D186">
        <v>6</v>
      </c>
      <c r="E186">
        <v>163.03</v>
      </c>
      <c r="F186">
        <v>978.18</v>
      </c>
      <c r="G186" s="2">
        <v>45454</v>
      </c>
      <c r="H186" s="1" t="s">
        <v>26</v>
      </c>
      <c r="I186" s="1" t="s">
        <v>71</v>
      </c>
      <c r="J186">
        <v>978.18</v>
      </c>
      <c r="K186" s="1">
        <v>45444</v>
      </c>
    </row>
    <row r="187" spans="1:11">
      <c r="A187" s="1" t="s">
        <v>237</v>
      </c>
      <c r="B187" s="1" t="s">
        <v>24</v>
      </c>
      <c r="C187" s="1" t="s">
        <v>25</v>
      </c>
      <c r="D187">
        <v>13</v>
      </c>
      <c r="E187">
        <v>2.5299999999999998</v>
      </c>
      <c r="F187">
        <v>32.89</v>
      </c>
      <c r="G187" s="2">
        <v>45564</v>
      </c>
      <c r="H187" s="1" t="s">
        <v>26</v>
      </c>
      <c r="I187" s="1" t="s">
        <v>85</v>
      </c>
      <c r="J187">
        <v>32.89</v>
      </c>
      <c r="K187" s="1">
        <v>45536</v>
      </c>
    </row>
    <row r="188" spans="1:11">
      <c r="A188" s="1" t="s">
        <v>238</v>
      </c>
      <c r="B188" s="1" t="s">
        <v>54</v>
      </c>
      <c r="C188" s="1" t="s">
        <v>32</v>
      </c>
      <c r="D188">
        <v>11</v>
      </c>
      <c r="E188">
        <v>346.16</v>
      </c>
      <c r="F188">
        <v>3807.76</v>
      </c>
      <c r="G188" s="2">
        <v>45353</v>
      </c>
      <c r="H188" s="1" t="s">
        <v>19</v>
      </c>
      <c r="I188" s="1" t="s">
        <v>58</v>
      </c>
      <c r="J188">
        <v>3807.76</v>
      </c>
      <c r="K188" s="1">
        <v>45352</v>
      </c>
    </row>
    <row r="189" spans="1:11">
      <c r="A189" s="1" t="s">
        <v>239</v>
      </c>
      <c r="B189" s="1" t="s">
        <v>43</v>
      </c>
      <c r="C189" s="1" t="s">
        <v>13</v>
      </c>
      <c r="D189">
        <v>18</v>
      </c>
      <c r="E189">
        <v>165.31</v>
      </c>
      <c r="F189">
        <v>2975.58</v>
      </c>
      <c r="G189" s="2">
        <v>45408</v>
      </c>
      <c r="H189" s="1" t="s">
        <v>35</v>
      </c>
      <c r="I189" s="1" t="s">
        <v>47</v>
      </c>
      <c r="J189">
        <v>2975.58</v>
      </c>
      <c r="K189" s="1">
        <v>45383</v>
      </c>
    </row>
    <row r="190" spans="1:11">
      <c r="A190" s="1" t="s">
        <v>240</v>
      </c>
      <c r="B190" s="1" t="s">
        <v>54</v>
      </c>
      <c r="C190" s="1" t="s">
        <v>32</v>
      </c>
      <c r="D190">
        <v>18</v>
      </c>
      <c r="E190">
        <v>331.2</v>
      </c>
      <c r="F190">
        <v>5961.6</v>
      </c>
      <c r="G190" s="2">
        <v>45375</v>
      </c>
      <c r="H190" s="1" t="s">
        <v>45</v>
      </c>
      <c r="I190" s="1" t="s">
        <v>60</v>
      </c>
      <c r="J190">
        <v>5961.6</v>
      </c>
      <c r="K190" s="1">
        <v>45352</v>
      </c>
    </row>
    <row r="191" spans="1:11">
      <c r="A191" s="1" t="s">
        <v>241</v>
      </c>
      <c r="B191" s="1" t="s">
        <v>24</v>
      </c>
      <c r="C191" s="1" t="s">
        <v>25</v>
      </c>
      <c r="D191">
        <v>2</v>
      </c>
      <c r="E191">
        <v>1.89</v>
      </c>
      <c r="F191">
        <v>3.78</v>
      </c>
      <c r="G191" s="2">
        <v>45311</v>
      </c>
      <c r="H191" s="1" t="s">
        <v>26</v>
      </c>
      <c r="I191" s="1" t="s">
        <v>60</v>
      </c>
      <c r="J191">
        <v>3.78</v>
      </c>
      <c r="K191" s="1">
        <v>45292</v>
      </c>
    </row>
    <row r="192" spans="1:11">
      <c r="A192" s="1" t="s">
        <v>242</v>
      </c>
      <c r="B192" s="1" t="s">
        <v>43</v>
      </c>
      <c r="C192" s="1" t="s">
        <v>13</v>
      </c>
      <c r="D192">
        <v>17</v>
      </c>
      <c r="E192">
        <v>153.80000000000001</v>
      </c>
      <c r="F192">
        <v>2614.6</v>
      </c>
      <c r="G192" s="2">
        <v>45431</v>
      </c>
      <c r="H192" s="1" t="s">
        <v>35</v>
      </c>
      <c r="I192" s="1" t="s">
        <v>27</v>
      </c>
      <c r="J192">
        <v>2614.6</v>
      </c>
      <c r="K192" s="1">
        <v>45413</v>
      </c>
    </row>
    <row r="193" spans="1:11">
      <c r="A193" s="1" t="s">
        <v>243</v>
      </c>
      <c r="B193" s="1" t="s">
        <v>24</v>
      </c>
      <c r="C193" s="1" t="s">
        <v>25</v>
      </c>
      <c r="D193">
        <v>13</v>
      </c>
      <c r="E193">
        <v>1.06</v>
      </c>
      <c r="F193">
        <v>13.78</v>
      </c>
      <c r="G193" s="2">
        <v>45502</v>
      </c>
      <c r="H193" s="1" t="s">
        <v>19</v>
      </c>
      <c r="I193" s="1" t="s">
        <v>51</v>
      </c>
      <c r="J193">
        <v>13.78</v>
      </c>
      <c r="K193" s="1">
        <v>45474</v>
      </c>
    </row>
    <row r="194" spans="1:11">
      <c r="A194" s="1" t="s">
        <v>244</v>
      </c>
      <c r="B194" s="1" t="s">
        <v>56</v>
      </c>
      <c r="C194" s="1" t="s">
        <v>57</v>
      </c>
      <c r="D194">
        <v>6</v>
      </c>
      <c r="E194">
        <v>33.32</v>
      </c>
      <c r="F194">
        <v>199.92</v>
      </c>
      <c r="G194" s="2">
        <v>45327</v>
      </c>
      <c r="H194" s="1" t="s">
        <v>45</v>
      </c>
      <c r="I194" s="1" t="s">
        <v>36</v>
      </c>
      <c r="J194">
        <v>199.92</v>
      </c>
      <c r="K194" s="1">
        <v>45323</v>
      </c>
    </row>
    <row r="195" spans="1:11">
      <c r="A195" s="1" t="s">
        <v>245</v>
      </c>
      <c r="B195" s="1" t="s">
        <v>54</v>
      </c>
      <c r="C195" s="1" t="s">
        <v>32</v>
      </c>
      <c r="D195">
        <v>13</v>
      </c>
      <c r="E195">
        <v>307.02</v>
      </c>
      <c r="F195">
        <v>3991.26</v>
      </c>
      <c r="G195" s="2">
        <v>45362</v>
      </c>
      <c r="H195" s="1" t="s">
        <v>45</v>
      </c>
      <c r="I195" s="1" t="s">
        <v>36</v>
      </c>
      <c r="J195">
        <v>3991.26</v>
      </c>
      <c r="K195" s="1">
        <v>45352</v>
      </c>
    </row>
    <row r="196" spans="1:11">
      <c r="A196" s="1" t="s">
        <v>246</v>
      </c>
      <c r="B196" s="1" t="s">
        <v>21</v>
      </c>
      <c r="C196" s="1" t="s">
        <v>22</v>
      </c>
      <c r="D196">
        <v>1</v>
      </c>
      <c r="E196">
        <v>8614</v>
      </c>
      <c r="F196">
        <v>8614</v>
      </c>
      <c r="G196" s="2">
        <v>45629</v>
      </c>
      <c r="H196" s="1" t="s">
        <v>35</v>
      </c>
      <c r="I196" s="1" t="s">
        <v>66</v>
      </c>
      <c r="J196">
        <v>8614</v>
      </c>
      <c r="K196" s="1">
        <v>45627</v>
      </c>
    </row>
    <row r="197" spans="1:11">
      <c r="A197" s="1" t="s">
        <v>247</v>
      </c>
      <c r="B197" s="1" t="s">
        <v>43</v>
      </c>
      <c r="C197" s="1" t="s">
        <v>13</v>
      </c>
      <c r="D197">
        <v>7</v>
      </c>
      <c r="E197">
        <v>187.64</v>
      </c>
      <c r="F197">
        <v>1313.48</v>
      </c>
      <c r="G197" s="2">
        <v>45342</v>
      </c>
      <c r="H197" s="1" t="s">
        <v>19</v>
      </c>
      <c r="I197" s="1" t="s">
        <v>49</v>
      </c>
      <c r="J197">
        <v>1313.48</v>
      </c>
      <c r="K197" s="1">
        <v>45323</v>
      </c>
    </row>
    <row r="198" spans="1:11">
      <c r="A198" s="1" t="s">
        <v>248</v>
      </c>
      <c r="B198" s="1" t="s">
        <v>17</v>
      </c>
      <c r="C198" s="1" t="s">
        <v>18</v>
      </c>
      <c r="D198">
        <v>18</v>
      </c>
      <c r="E198">
        <v>5.85</v>
      </c>
      <c r="F198">
        <v>105.3</v>
      </c>
      <c r="G198" s="2">
        <v>45510</v>
      </c>
      <c r="H198" s="1" t="s">
        <v>26</v>
      </c>
      <c r="I198" s="1" t="s">
        <v>71</v>
      </c>
      <c r="J198">
        <v>105.3</v>
      </c>
      <c r="K198" s="1">
        <v>45505</v>
      </c>
    </row>
    <row r="199" spans="1:11">
      <c r="A199" s="1" t="s">
        <v>249</v>
      </c>
      <c r="B199" s="1" t="s">
        <v>24</v>
      </c>
      <c r="C199" s="1" t="s">
        <v>25</v>
      </c>
      <c r="D199">
        <v>9</v>
      </c>
      <c r="E199">
        <v>2.84</v>
      </c>
      <c r="F199">
        <v>25.56</v>
      </c>
      <c r="G199" s="2">
        <v>45358</v>
      </c>
      <c r="H199" s="1" t="s">
        <v>45</v>
      </c>
      <c r="I199" s="1" t="s">
        <v>87</v>
      </c>
      <c r="J199">
        <v>25.56</v>
      </c>
      <c r="K199" s="1">
        <v>45352</v>
      </c>
    </row>
    <row r="200" spans="1:11">
      <c r="A200" s="1" t="s">
        <v>250</v>
      </c>
      <c r="B200" s="1" t="s">
        <v>43</v>
      </c>
      <c r="C200" s="1" t="s">
        <v>13</v>
      </c>
      <c r="D200">
        <v>19</v>
      </c>
      <c r="E200">
        <v>198.95</v>
      </c>
      <c r="F200">
        <v>3780.05</v>
      </c>
      <c r="G200" s="2">
        <v>45628</v>
      </c>
      <c r="H200" s="1" t="s">
        <v>45</v>
      </c>
      <c r="I200" s="1" t="s">
        <v>33</v>
      </c>
      <c r="J200">
        <v>3780.05</v>
      </c>
      <c r="K200" s="1">
        <v>45627</v>
      </c>
    </row>
    <row r="201" spans="1:11">
      <c r="A201" s="1" t="s">
        <v>251</v>
      </c>
      <c r="B201" s="1" t="s">
        <v>31</v>
      </c>
      <c r="C201" s="1" t="s">
        <v>32</v>
      </c>
      <c r="D201">
        <v>20</v>
      </c>
      <c r="E201">
        <v>220.48</v>
      </c>
      <c r="F201">
        <v>4409.6000000000004</v>
      </c>
      <c r="G201" s="2">
        <v>45419</v>
      </c>
      <c r="H201" s="1" t="s">
        <v>14</v>
      </c>
      <c r="I201" s="1" t="s">
        <v>51</v>
      </c>
      <c r="J201">
        <v>4409.6000000000004</v>
      </c>
      <c r="K201" s="1">
        <v>45413</v>
      </c>
    </row>
    <row r="202" spans="1:11">
      <c r="A202" s="1" t="s">
        <v>252</v>
      </c>
      <c r="B202" s="1" t="s">
        <v>17</v>
      </c>
      <c r="C202" s="1" t="s">
        <v>18</v>
      </c>
      <c r="D202">
        <v>11</v>
      </c>
      <c r="E202">
        <v>9.9</v>
      </c>
      <c r="F202">
        <v>108.9</v>
      </c>
      <c r="G202" s="2">
        <v>45398</v>
      </c>
      <c r="H202" s="1" t="s">
        <v>35</v>
      </c>
      <c r="I202" s="1" t="s">
        <v>27</v>
      </c>
      <c r="J202">
        <v>108.9</v>
      </c>
      <c r="K202" s="1">
        <v>45383</v>
      </c>
    </row>
    <row r="203" spans="1:11">
      <c r="A203" s="1" t="s">
        <v>253</v>
      </c>
      <c r="B203" s="1" t="s">
        <v>40</v>
      </c>
      <c r="C203" s="1" t="s">
        <v>25</v>
      </c>
      <c r="D203">
        <v>20</v>
      </c>
      <c r="E203">
        <v>10.210000000000001</v>
      </c>
      <c r="F203">
        <v>204.2</v>
      </c>
      <c r="G203" s="2">
        <v>45409</v>
      </c>
      <c r="H203" s="1" t="s">
        <v>26</v>
      </c>
      <c r="I203" s="1" t="s">
        <v>81</v>
      </c>
      <c r="J203">
        <v>204.2</v>
      </c>
      <c r="K203" s="1">
        <v>45383</v>
      </c>
    </row>
    <row r="204" spans="1:11">
      <c r="A204" s="1" t="s">
        <v>254</v>
      </c>
      <c r="B204" s="1" t="s">
        <v>17</v>
      </c>
      <c r="C204" s="1" t="s">
        <v>18</v>
      </c>
      <c r="D204">
        <v>15</v>
      </c>
      <c r="E204">
        <v>8.99</v>
      </c>
      <c r="F204">
        <v>134.85</v>
      </c>
      <c r="G204" s="2">
        <v>45350</v>
      </c>
      <c r="H204" s="1" t="s">
        <v>35</v>
      </c>
      <c r="I204" s="1" t="s">
        <v>38</v>
      </c>
      <c r="J204">
        <v>134.85</v>
      </c>
      <c r="K204" s="1">
        <v>45323</v>
      </c>
    </row>
    <row r="205" spans="1:11">
      <c r="A205" s="1" t="s">
        <v>255</v>
      </c>
      <c r="B205" s="1" t="s">
        <v>24</v>
      </c>
      <c r="C205" s="1" t="s">
        <v>25</v>
      </c>
      <c r="D205">
        <v>9</v>
      </c>
      <c r="E205">
        <v>2.2000000000000002</v>
      </c>
      <c r="F205">
        <v>19.8</v>
      </c>
      <c r="G205" s="2">
        <v>45606</v>
      </c>
      <c r="H205" s="1" t="s">
        <v>26</v>
      </c>
      <c r="I205" s="1" t="s">
        <v>66</v>
      </c>
      <c r="J205">
        <v>19.8</v>
      </c>
      <c r="K205" s="1">
        <v>45597</v>
      </c>
    </row>
    <row r="206" spans="1:11">
      <c r="A206" s="1" t="s">
        <v>256</v>
      </c>
      <c r="B206" s="1" t="s">
        <v>17</v>
      </c>
      <c r="C206" s="1" t="s">
        <v>18</v>
      </c>
      <c r="D206">
        <v>17</v>
      </c>
      <c r="E206">
        <v>12.61</v>
      </c>
      <c r="F206">
        <v>214.37</v>
      </c>
      <c r="G206" s="2">
        <v>45454</v>
      </c>
      <c r="H206" s="1" t="s">
        <v>45</v>
      </c>
      <c r="I206" s="1" t="s">
        <v>98</v>
      </c>
      <c r="J206">
        <v>214.37</v>
      </c>
      <c r="K206" s="1">
        <v>45444</v>
      </c>
    </row>
    <row r="207" spans="1:11">
      <c r="A207" s="1" t="s">
        <v>257</v>
      </c>
      <c r="B207" s="1" t="s">
        <v>43</v>
      </c>
      <c r="C207" s="1" t="s">
        <v>13</v>
      </c>
      <c r="D207">
        <v>5</v>
      </c>
      <c r="E207">
        <v>159.04</v>
      </c>
      <c r="F207">
        <v>795.2</v>
      </c>
      <c r="G207" s="2">
        <v>45404</v>
      </c>
      <c r="H207" s="1" t="s">
        <v>35</v>
      </c>
      <c r="I207" s="1" t="s">
        <v>49</v>
      </c>
      <c r="J207">
        <v>795.2</v>
      </c>
      <c r="K207" s="1">
        <v>45383</v>
      </c>
    </row>
    <row r="208" spans="1:11">
      <c r="A208" s="1" t="s">
        <v>258</v>
      </c>
      <c r="B208" s="1" t="s">
        <v>24</v>
      </c>
      <c r="C208" s="1" t="s">
        <v>25</v>
      </c>
      <c r="D208">
        <v>1</v>
      </c>
      <c r="E208">
        <v>2.25</v>
      </c>
      <c r="F208">
        <v>2.25</v>
      </c>
      <c r="G208" s="2">
        <v>45384</v>
      </c>
      <c r="H208" s="1" t="s">
        <v>35</v>
      </c>
      <c r="I208" s="1" t="s">
        <v>38</v>
      </c>
      <c r="J208">
        <v>2.25</v>
      </c>
      <c r="K208" s="1">
        <v>45383</v>
      </c>
    </row>
    <row r="209" spans="1:11">
      <c r="A209" s="1" t="s">
        <v>259</v>
      </c>
      <c r="B209" s="1" t="s">
        <v>17</v>
      </c>
      <c r="C209" s="1" t="s">
        <v>18</v>
      </c>
      <c r="D209">
        <v>10</v>
      </c>
      <c r="E209">
        <v>6.92</v>
      </c>
      <c r="F209">
        <v>69.2</v>
      </c>
      <c r="G209" s="2">
        <v>45403</v>
      </c>
      <c r="H209" s="1" t="s">
        <v>35</v>
      </c>
      <c r="I209" s="1" t="s">
        <v>87</v>
      </c>
      <c r="J209">
        <v>69.2</v>
      </c>
      <c r="K209" s="1">
        <v>45383</v>
      </c>
    </row>
    <row r="210" spans="1:11">
      <c r="A210" s="1" t="s">
        <v>260</v>
      </c>
      <c r="B210" s="1" t="s">
        <v>43</v>
      </c>
      <c r="C210" s="1" t="s">
        <v>13</v>
      </c>
      <c r="D210">
        <v>2</v>
      </c>
      <c r="E210">
        <v>189.27</v>
      </c>
      <c r="F210">
        <v>378.54</v>
      </c>
      <c r="G210" s="2">
        <v>45472</v>
      </c>
      <c r="H210" s="1" t="s">
        <v>35</v>
      </c>
      <c r="I210" s="1" t="s">
        <v>27</v>
      </c>
      <c r="J210">
        <v>378.54</v>
      </c>
      <c r="K210" s="1">
        <v>45444</v>
      </c>
    </row>
    <row r="211" spans="1:11">
      <c r="A211" s="1" t="s">
        <v>261</v>
      </c>
      <c r="B211" s="1" t="s">
        <v>62</v>
      </c>
      <c r="C211" s="1" t="s">
        <v>32</v>
      </c>
      <c r="D211">
        <v>14</v>
      </c>
      <c r="E211">
        <v>838.27</v>
      </c>
      <c r="F211">
        <v>11735.78</v>
      </c>
      <c r="G211" s="2">
        <v>45296</v>
      </c>
      <c r="H211" s="1" t="s">
        <v>19</v>
      </c>
      <c r="I211" s="1" t="s">
        <v>29</v>
      </c>
      <c r="J211">
        <v>11735.78</v>
      </c>
      <c r="K211" s="1">
        <v>45292</v>
      </c>
    </row>
    <row r="212" spans="1:11">
      <c r="A212" s="1" t="s">
        <v>262</v>
      </c>
      <c r="B212" s="1" t="s">
        <v>17</v>
      </c>
      <c r="C212" s="1" t="s">
        <v>18</v>
      </c>
      <c r="D212">
        <v>16</v>
      </c>
      <c r="E212">
        <v>11.36</v>
      </c>
      <c r="F212">
        <v>181.76</v>
      </c>
      <c r="G212" s="2">
        <v>45372</v>
      </c>
      <c r="H212" s="1" t="s">
        <v>19</v>
      </c>
      <c r="I212" s="1" t="s">
        <v>47</v>
      </c>
      <c r="J212">
        <v>181.76</v>
      </c>
      <c r="K212" s="1">
        <v>45352</v>
      </c>
    </row>
    <row r="213" spans="1:11">
      <c r="A213" s="1" t="s">
        <v>263</v>
      </c>
      <c r="B213" s="1" t="s">
        <v>17</v>
      </c>
      <c r="C213" s="1" t="s">
        <v>18</v>
      </c>
      <c r="D213">
        <v>7</v>
      </c>
      <c r="E213">
        <v>8.9</v>
      </c>
      <c r="F213">
        <v>62.3</v>
      </c>
      <c r="G213" s="2">
        <v>45571</v>
      </c>
      <c r="H213" s="1" t="s">
        <v>35</v>
      </c>
      <c r="I213" s="1" t="s">
        <v>47</v>
      </c>
      <c r="J213">
        <v>62.3</v>
      </c>
      <c r="K213" s="1">
        <v>45566</v>
      </c>
    </row>
    <row r="214" spans="1:11">
      <c r="A214" s="1" t="s">
        <v>264</v>
      </c>
      <c r="B214" s="1" t="s">
        <v>43</v>
      </c>
      <c r="C214" s="1" t="s">
        <v>13</v>
      </c>
      <c r="D214">
        <v>19</v>
      </c>
      <c r="E214">
        <v>109.37</v>
      </c>
      <c r="F214">
        <v>2078.0300000000002</v>
      </c>
      <c r="G214" s="2">
        <v>45357</v>
      </c>
      <c r="H214" s="1" t="s">
        <v>45</v>
      </c>
      <c r="I214" s="1" t="s">
        <v>85</v>
      </c>
      <c r="J214">
        <v>2078.0300000000002</v>
      </c>
      <c r="K214" s="1">
        <v>45352</v>
      </c>
    </row>
    <row r="215" spans="1:11">
      <c r="A215" s="1" t="s">
        <v>265</v>
      </c>
      <c r="B215" s="1" t="s">
        <v>12</v>
      </c>
      <c r="C215" s="1" t="s">
        <v>13</v>
      </c>
      <c r="D215">
        <v>8</v>
      </c>
      <c r="E215">
        <v>181.38</v>
      </c>
      <c r="F215">
        <v>1451.04</v>
      </c>
      <c r="G215" s="2">
        <v>45353</v>
      </c>
      <c r="H215" s="1" t="s">
        <v>26</v>
      </c>
      <c r="I215" s="1" t="s">
        <v>81</v>
      </c>
      <c r="J215">
        <v>1451.04</v>
      </c>
      <c r="K215" s="1">
        <v>45352</v>
      </c>
    </row>
    <row r="216" spans="1:11">
      <c r="A216" s="1" t="s">
        <v>266</v>
      </c>
      <c r="B216" s="1" t="s">
        <v>24</v>
      </c>
      <c r="C216" s="1" t="s">
        <v>25</v>
      </c>
      <c r="D216">
        <v>17</v>
      </c>
      <c r="E216">
        <v>1.34</v>
      </c>
      <c r="F216">
        <v>22.78</v>
      </c>
      <c r="G216" s="2">
        <v>45432</v>
      </c>
      <c r="H216" s="1" t="s">
        <v>35</v>
      </c>
      <c r="I216" s="1" t="s">
        <v>81</v>
      </c>
      <c r="J216">
        <v>22.78</v>
      </c>
      <c r="K216" s="1">
        <v>45413</v>
      </c>
    </row>
    <row r="217" spans="1:11">
      <c r="A217" s="1" t="s">
        <v>267</v>
      </c>
      <c r="B217" s="1" t="s">
        <v>12</v>
      </c>
      <c r="C217" s="1" t="s">
        <v>13</v>
      </c>
      <c r="D217">
        <v>7</v>
      </c>
      <c r="E217">
        <v>164.7</v>
      </c>
      <c r="F217">
        <v>1152.9000000000001</v>
      </c>
      <c r="G217" s="2">
        <v>45343</v>
      </c>
      <c r="H217" s="1" t="s">
        <v>45</v>
      </c>
      <c r="I217" s="1" t="s">
        <v>66</v>
      </c>
      <c r="J217">
        <v>1152.9000000000001</v>
      </c>
      <c r="K217" s="1">
        <v>45323</v>
      </c>
    </row>
    <row r="218" spans="1:11">
      <c r="A218" s="1" t="s">
        <v>268</v>
      </c>
      <c r="B218" s="1" t="s">
        <v>24</v>
      </c>
      <c r="C218" s="1" t="s">
        <v>25</v>
      </c>
      <c r="D218">
        <v>13</v>
      </c>
      <c r="E218">
        <v>2.23</v>
      </c>
      <c r="F218">
        <v>28.99</v>
      </c>
      <c r="G218" s="2">
        <v>45376</v>
      </c>
      <c r="H218" s="1" t="s">
        <v>35</v>
      </c>
      <c r="I218" s="1" t="s">
        <v>60</v>
      </c>
      <c r="J218">
        <v>28.99</v>
      </c>
      <c r="K218" s="1">
        <v>45352</v>
      </c>
    </row>
    <row r="219" spans="1:11">
      <c r="A219" s="1" t="s">
        <v>269</v>
      </c>
      <c r="B219" s="1" t="s">
        <v>24</v>
      </c>
      <c r="C219" s="1" t="s">
        <v>25</v>
      </c>
      <c r="D219">
        <v>2</v>
      </c>
      <c r="E219">
        <v>1.76</v>
      </c>
      <c r="F219">
        <v>3.52</v>
      </c>
      <c r="G219" s="2">
        <v>45344</v>
      </c>
      <c r="H219" s="1" t="s">
        <v>45</v>
      </c>
      <c r="I219" s="1" t="s">
        <v>15</v>
      </c>
      <c r="J219">
        <v>3.52</v>
      </c>
      <c r="K219" s="1">
        <v>45323</v>
      </c>
    </row>
    <row r="220" spans="1:11">
      <c r="A220" s="1" t="s">
        <v>270</v>
      </c>
      <c r="B220" s="1" t="s">
        <v>17</v>
      </c>
      <c r="C220" s="1" t="s">
        <v>18</v>
      </c>
      <c r="D220">
        <v>14</v>
      </c>
      <c r="E220">
        <v>8.34</v>
      </c>
      <c r="F220">
        <v>116.76</v>
      </c>
      <c r="G220" s="2">
        <v>45622</v>
      </c>
      <c r="H220" s="1" t="s">
        <v>26</v>
      </c>
      <c r="I220" s="1" t="s">
        <v>87</v>
      </c>
      <c r="J220">
        <v>116.76</v>
      </c>
      <c r="K220" s="1">
        <v>45597</v>
      </c>
    </row>
    <row r="221" spans="1:11">
      <c r="A221" s="1" t="s">
        <v>271</v>
      </c>
      <c r="B221" s="1" t="s">
        <v>54</v>
      </c>
      <c r="C221" s="1" t="s">
        <v>32</v>
      </c>
      <c r="D221">
        <v>10</v>
      </c>
      <c r="E221">
        <v>267.91000000000003</v>
      </c>
      <c r="F221">
        <v>2679.1</v>
      </c>
      <c r="G221" s="2">
        <v>45483</v>
      </c>
      <c r="H221" s="1" t="s">
        <v>14</v>
      </c>
      <c r="I221" s="1" t="s">
        <v>98</v>
      </c>
      <c r="J221">
        <v>2679.1</v>
      </c>
      <c r="K221" s="1">
        <v>45474</v>
      </c>
    </row>
    <row r="222" spans="1:11">
      <c r="A222" s="1" t="s">
        <v>272</v>
      </c>
      <c r="B222" s="1" t="s">
        <v>62</v>
      </c>
      <c r="C222" s="1" t="s">
        <v>32</v>
      </c>
      <c r="D222">
        <v>11</v>
      </c>
      <c r="E222">
        <v>808.22</v>
      </c>
      <c r="F222">
        <v>8890.42</v>
      </c>
      <c r="G222" s="2">
        <v>45537</v>
      </c>
      <c r="H222" s="1" t="s">
        <v>14</v>
      </c>
      <c r="I222" s="1" t="s">
        <v>71</v>
      </c>
      <c r="J222">
        <v>8890.42</v>
      </c>
      <c r="K222" s="1">
        <v>45536</v>
      </c>
    </row>
    <row r="223" spans="1:11">
      <c r="A223" s="1" t="s">
        <v>273</v>
      </c>
      <c r="B223" s="1" t="s">
        <v>31</v>
      </c>
      <c r="C223" s="1" t="s">
        <v>32</v>
      </c>
      <c r="D223">
        <v>2</v>
      </c>
      <c r="E223">
        <v>270.8</v>
      </c>
      <c r="F223">
        <v>541.6</v>
      </c>
      <c r="G223" s="2">
        <v>45583</v>
      </c>
      <c r="H223" s="1" t="s">
        <v>19</v>
      </c>
      <c r="I223" s="1" t="s">
        <v>33</v>
      </c>
      <c r="J223">
        <v>541.6</v>
      </c>
      <c r="K223" s="1">
        <v>45566</v>
      </c>
    </row>
    <row r="224" spans="1:11">
      <c r="A224" s="1" t="s">
        <v>274</v>
      </c>
      <c r="B224" s="1" t="s">
        <v>21</v>
      </c>
      <c r="C224" s="1" t="s">
        <v>22</v>
      </c>
      <c r="D224">
        <v>1</v>
      </c>
      <c r="E224">
        <v>8876.25</v>
      </c>
      <c r="F224">
        <v>8876.25</v>
      </c>
      <c r="G224" s="2">
        <v>45600</v>
      </c>
      <c r="H224" s="1" t="s">
        <v>35</v>
      </c>
      <c r="I224" s="1" t="s">
        <v>36</v>
      </c>
      <c r="J224">
        <v>8876.25</v>
      </c>
      <c r="K224" s="1">
        <v>45597</v>
      </c>
    </row>
    <row r="225" spans="1:11">
      <c r="A225" s="1" t="s">
        <v>275</v>
      </c>
      <c r="B225" s="1" t="s">
        <v>40</v>
      </c>
      <c r="C225" s="1" t="s">
        <v>25</v>
      </c>
      <c r="D225">
        <v>14</v>
      </c>
      <c r="E225">
        <v>15.95</v>
      </c>
      <c r="F225">
        <v>223.3</v>
      </c>
      <c r="G225" s="2">
        <v>45516</v>
      </c>
      <c r="H225" s="1" t="s">
        <v>14</v>
      </c>
      <c r="I225" s="1" t="s">
        <v>49</v>
      </c>
      <c r="J225">
        <v>223.3</v>
      </c>
      <c r="K225" s="1">
        <v>45505</v>
      </c>
    </row>
    <row r="226" spans="1:11">
      <c r="A226" s="1" t="s">
        <v>276</v>
      </c>
      <c r="B226" s="1" t="s">
        <v>17</v>
      </c>
      <c r="C226" s="1" t="s">
        <v>18</v>
      </c>
      <c r="D226">
        <v>17</v>
      </c>
      <c r="E226">
        <v>12.26</v>
      </c>
      <c r="F226">
        <v>208.42</v>
      </c>
      <c r="G226" s="2">
        <v>45375</v>
      </c>
      <c r="H226" s="1" t="s">
        <v>19</v>
      </c>
      <c r="I226" s="1" t="s">
        <v>60</v>
      </c>
      <c r="J226">
        <v>208.42</v>
      </c>
      <c r="K226" s="1">
        <v>45352</v>
      </c>
    </row>
    <row r="227" spans="1:11">
      <c r="A227" s="1" t="s">
        <v>277</v>
      </c>
      <c r="B227" s="1" t="s">
        <v>62</v>
      </c>
      <c r="C227" s="1" t="s">
        <v>32</v>
      </c>
      <c r="D227">
        <v>4</v>
      </c>
      <c r="E227">
        <v>920.27</v>
      </c>
      <c r="F227">
        <v>3681.08</v>
      </c>
      <c r="G227" s="2">
        <v>45630</v>
      </c>
      <c r="H227" s="1" t="s">
        <v>35</v>
      </c>
      <c r="I227" s="1" t="s">
        <v>33</v>
      </c>
      <c r="J227">
        <v>3681.08</v>
      </c>
      <c r="K227" s="1">
        <v>45627</v>
      </c>
    </row>
    <row r="228" spans="1:11">
      <c r="A228" s="1" t="s">
        <v>278</v>
      </c>
      <c r="B228" s="1" t="s">
        <v>56</v>
      </c>
      <c r="C228" s="1" t="s">
        <v>57</v>
      </c>
      <c r="D228">
        <v>20</v>
      </c>
      <c r="E228">
        <v>33.380000000000003</v>
      </c>
      <c r="F228">
        <v>667.6</v>
      </c>
      <c r="G228" s="2">
        <v>45553</v>
      </c>
      <c r="H228" s="1" t="s">
        <v>14</v>
      </c>
      <c r="I228" s="1" t="s">
        <v>36</v>
      </c>
      <c r="J228">
        <v>667.6</v>
      </c>
      <c r="K228" s="1">
        <v>45536</v>
      </c>
    </row>
    <row r="229" spans="1:11">
      <c r="A229" s="1" t="s">
        <v>279</v>
      </c>
      <c r="B229" s="1" t="s">
        <v>12</v>
      </c>
      <c r="C229" s="1" t="s">
        <v>13</v>
      </c>
      <c r="D229">
        <v>19</v>
      </c>
      <c r="E229">
        <v>120.67</v>
      </c>
      <c r="F229">
        <v>2292.73</v>
      </c>
      <c r="G229" s="2">
        <v>45316</v>
      </c>
      <c r="H229" s="1" t="s">
        <v>19</v>
      </c>
      <c r="I229" s="1" t="s">
        <v>58</v>
      </c>
      <c r="J229">
        <v>2292.73</v>
      </c>
      <c r="K229" s="1">
        <v>45292</v>
      </c>
    </row>
    <row r="230" spans="1:11">
      <c r="A230" s="1" t="s">
        <v>280</v>
      </c>
      <c r="B230" s="1" t="s">
        <v>12</v>
      </c>
      <c r="C230" s="1" t="s">
        <v>13</v>
      </c>
      <c r="D230">
        <v>10</v>
      </c>
      <c r="E230">
        <v>155.66</v>
      </c>
      <c r="F230">
        <v>1556.6</v>
      </c>
      <c r="G230" s="2">
        <v>45580</v>
      </c>
      <c r="H230" s="1" t="s">
        <v>26</v>
      </c>
      <c r="I230" s="1" t="s">
        <v>71</v>
      </c>
      <c r="J230">
        <v>1556.6</v>
      </c>
      <c r="K230" s="1">
        <v>45566</v>
      </c>
    </row>
    <row r="231" spans="1:11">
      <c r="A231" s="1" t="s">
        <v>281</v>
      </c>
      <c r="B231" s="1" t="s">
        <v>31</v>
      </c>
      <c r="C231" s="1" t="s">
        <v>32</v>
      </c>
      <c r="D231">
        <v>4</v>
      </c>
      <c r="E231">
        <v>175.06</v>
      </c>
      <c r="F231">
        <v>700.24</v>
      </c>
      <c r="G231" s="2">
        <v>45579</v>
      </c>
      <c r="H231" s="1" t="s">
        <v>14</v>
      </c>
      <c r="I231" s="1" t="s">
        <v>60</v>
      </c>
      <c r="J231">
        <v>700.24</v>
      </c>
      <c r="K231" s="1">
        <v>45566</v>
      </c>
    </row>
    <row r="232" spans="1:11">
      <c r="A232" s="1" t="s">
        <v>282</v>
      </c>
      <c r="B232" s="1" t="s">
        <v>40</v>
      </c>
      <c r="C232" s="1" t="s">
        <v>25</v>
      </c>
      <c r="D232">
        <v>11</v>
      </c>
      <c r="E232">
        <v>16.66</v>
      </c>
      <c r="F232">
        <v>183.26</v>
      </c>
      <c r="G232" s="2">
        <v>45395</v>
      </c>
      <c r="H232" s="1" t="s">
        <v>14</v>
      </c>
      <c r="I232" s="1" t="s">
        <v>15</v>
      </c>
      <c r="J232">
        <v>183.26</v>
      </c>
      <c r="K232" s="1">
        <v>45383</v>
      </c>
    </row>
    <row r="233" spans="1:11">
      <c r="A233" s="1" t="s">
        <v>283</v>
      </c>
      <c r="B233" s="1" t="s">
        <v>54</v>
      </c>
      <c r="C233" s="1" t="s">
        <v>32</v>
      </c>
      <c r="D233">
        <v>15</v>
      </c>
      <c r="E233">
        <v>381.95</v>
      </c>
      <c r="F233">
        <v>5729.25</v>
      </c>
      <c r="G233" s="2">
        <v>45423</v>
      </c>
      <c r="H233" s="1" t="s">
        <v>35</v>
      </c>
      <c r="I233" s="1" t="s">
        <v>49</v>
      </c>
      <c r="J233">
        <v>5729.25</v>
      </c>
      <c r="K233" s="1">
        <v>45413</v>
      </c>
    </row>
    <row r="234" spans="1:11">
      <c r="A234" s="1" t="s">
        <v>284</v>
      </c>
      <c r="B234" s="1" t="s">
        <v>17</v>
      </c>
      <c r="C234" s="1" t="s">
        <v>18</v>
      </c>
      <c r="D234">
        <v>15</v>
      </c>
      <c r="E234">
        <v>9.75</v>
      </c>
      <c r="F234">
        <v>146.25</v>
      </c>
      <c r="G234" s="2">
        <v>45604</v>
      </c>
      <c r="H234" s="1" t="s">
        <v>26</v>
      </c>
      <c r="I234" s="1" t="s">
        <v>47</v>
      </c>
      <c r="J234">
        <v>146.25</v>
      </c>
      <c r="K234" s="1">
        <v>45597</v>
      </c>
    </row>
    <row r="235" spans="1:11">
      <c r="A235" s="1" t="s">
        <v>285</v>
      </c>
      <c r="B235" s="1" t="s">
        <v>17</v>
      </c>
      <c r="C235" s="1" t="s">
        <v>18</v>
      </c>
      <c r="D235">
        <v>12</v>
      </c>
      <c r="E235">
        <v>8</v>
      </c>
      <c r="F235">
        <v>96</v>
      </c>
      <c r="G235" s="2">
        <v>45557</v>
      </c>
      <c r="H235" s="1" t="s">
        <v>26</v>
      </c>
      <c r="I235" s="1" t="s">
        <v>60</v>
      </c>
      <c r="J235">
        <v>96</v>
      </c>
      <c r="K235" s="1">
        <v>45536</v>
      </c>
    </row>
    <row r="236" spans="1:11">
      <c r="A236" s="1" t="s">
        <v>286</v>
      </c>
      <c r="B236" s="1" t="s">
        <v>17</v>
      </c>
      <c r="C236" s="1" t="s">
        <v>18</v>
      </c>
      <c r="D236">
        <v>14</v>
      </c>
      <c r="E236">
        <v>12.62</v>
      </c>
      <c r="F236">
        <v>176.68</v>
      </c>
      <c r="G236" s="2">
        <v>45351</v>
      </c>
      <c r="H236" s="1" t="s">
        <v>26</v>
      </c>
      <c r="I236" s="1" t="s">
        <v>66</v>
      </c>
      <c r="J236">
        <v>176.68</v>
      </c>
      <c r="K236" s="1">
        <v>45323</v>
      </c>
    </row>
    <row r="237" spans="1:11">
      <c r="A237" s="1" t="s">
        <v>287</v>
      </c>
      <c r="B237" s="1" t="s">
        <v>56</v>
      </c>
      <c r="C237" s="1" t="s">
        <v>57</v>
      </c>
      <c r="D237">
        <v>1</v>
      </c>
      <c r="E237">
        <v>20.72</v>
      </c>
      <c r="F237">
        <v>20.72</v>
      </c>
      <c r="G237" s="2">
        <v>45476</v>
      </c>
      <c r="H237" s="1" t="s">
        <v>26</v>
      </c>
      <c r="I237" s="1" t="s">
        <v>49</v>
      </c>
      <c r="J237">
        <v>20.72</v>
      </c>
      <c r="K237" s="1">
        <v>45474</v>
      </c>
    </row>
    <row r="238" spans="1:11">
      <c r="A238" s="1" t="s">
        <v>288</v>
      </c>
      <c r="B238" s="1" t="s">
        <v>43</v>
      </c>
      <c r="C238" s="1" t="s">
        <v>13</v>
      </c>
      <c r="D238">
        <v>8</v>
      </c>
      <c r="E238">
        <v>164.12</v>
      </c>
      <c r="F238">
        <v>1312.96</v>
      </c>
      <c r="G238" s="2">
        <v>45343</v>
      </c>
      <c r="H238" s="1" t="s">
        <v>19</v>
      </c>
      <c r="I238" s="1" t="s">
        <v>41</v>
      </c>
      <c r="J238">
        <v>1312.96</v>
      </c>
      <c r="K238" s="1">
        <v>45323</v>
      </c>
    </row>
    <row r="239" spans="1:11">
      <c r="A239" s="1" t="s">
        <v>289</v>
      </c>
      <c r="B239" s="1" t="s">
        <v>31</v>
      </c>
      <c r="C239" s="1" t="s">
        <v>32</v>
      </c>
      <c r="D239">
        <v>9</v>
      </c>
      <c r="E239">
        <v>254.32</v>
      </c>
      <c r="F239">
        <v>2288.88</v>
      </c>
      <c r="G239" s="2">
        <v>45530</v>
      </c>
      <c r="H239" s="1" t="s">
        <v>14</v>
      </c>
      <c r="I239" s="1" t="s">
        <v>66</v>
      </c>
      <c r="J239">
        <v>2288.88</v>
      </c>
      <c r="K239" s="1">
        <v>45505</v>
      </c>
    </row>
    <row r="240" spans="1:11">
      <c r="A240" s="1" t="s">
        <v>290</v>
      </c>
      <c r="B240" s="1" t="s">
        <v>54</v>
      </c>
      <c r="C240" s="1" t="s">
        <v>32</v>
      </c>
      <c r="D240">
        <v>20</v>
      </c>
      <c r="E240">
        <v>271.02999999999997</v>
      </c>
      <c r="F240">
        <v>5420.6</v>
      </c>
      <c r="G240" s="2">
        <v>45544</v>
      </c>
      <c r="H240" s="1" t="s">
        <v>26</v>
      </c>
      <c r="I240" s="1" t="s">
        <v>81</v>
      </c>
      <c r="J240">
        <v>5420.6</v>
      </c>
      <c r="K240" s="1">
        <v>45536</v>
      </c>
    </row>
    <row r="241" spans="1:11">
      <c r="A241" s="1" t="s">
        <v>291</v>
      </c>
      <c r="B241" s="1" t="s">
        <v>40</v>
      </c>
      <c r="C241" s="1" t="s">
        <v>25</v>
      </c>
      <c r="D241">
        <v>11</v>
      </c>
      <c r="E241">
        <v>15.66</v>
      </c>
      <c r="F241">
        <v>172.26</v>
      </c>
      <c r="G241" s="2">
        <v>45502</v>
      </c>
      <c r="H241" s="1" t="s">
        <v>26</v>
      </c>
      <c r="I241" s="1" t="s">
        <v>58</v>
      </c>
      <c r="J241">
        <v>172.26</v>
      </c>
      <c r="K241" s="1">
        <v>45474</v>
      </c>
    </row>
    <row r="242" spans="1:11">
      <c r="A242" s="1" t="s">
        <v>292</v>
      </c>
      <c r="B242" s="1" t="s">
        <v>24</v>
      </c>
      <c r="C242" s="1" t="s">
        <v>25</v>
      </c>
      <c r="D242">
        <v>15</v>
      </c>
      <c r="E242">
        <v>2.16</v>
      </c>
      <c r="F242">
        <v>32.4</v>
      </c>
      <c r="G242" s="2">
        <v>45365</v>
      </c>
      <c r="H242" s="1" t="s">
        <v>45</v>
      </c>
      <c r="I242" s="1" t="s">
        <v>85</v>
      </c>
      <c r="J242">
        <v>32.4</v>
      </c>
      <c r="K242" s="1">
        <v>45352</v>
      </c>
    </row>
    <row r="243" spans="1:11">
      <c r="A243" s="1" t="s">
        <v>293</v>
      </c>
      <c r="B243" s="1" t="s">
        <v>56</v>
      </c>
      <c r="C243" s="1" t="s">
        <v>57</v>
      </c>
      <c r="D243">
        <v>3</v>
      </c>
      <c r="E243">
        <v>43.57</v>
      </c>
      <c r="F243">
        <v>130.71</v>
      </c>
      <c r="G243" s="2">
        <v>45610</v>
      </c>
      <c r="H243" s="1" t="s">
        <v>14</v>
      </c>
      <c r="I243" s="1" t="s">
        <v>135</v>
      </c>
      <c r="J243">
        <v>130.71</v>
      </c>
      <c r="K243" s="1">
        <v>45597</v>
      </c>
    </row>
    <row r="244" spans="1:11">
      <c r="A244" s="1" t="s">
        <v>294</v>
      </c>
      <c r="B244" s="1" t="s">
        <v>12</v>
      </c>
      <c r="C244" s="1" t="s">
        <v>13</v>
      </c>
      <c r="D244">
        <v>9</v>
      </c>
      <c r="E244">
        <v>170.05</v>
      </c>
      <c r="F244">
        <v>1530.45</v>
      </c>
      <c r="G244" s="2">
        <v>45368</v>
      </c>
      <c r="H244" s="1" t="s">
        <v>14</v>
      </c>
      <c r="I244" s="1" t="s">
        <v>66</v>
      </c>
      <c r="J244">
        <v>1530.45</v>
      </c>
      <c r="K244" s="1">
        <v>45352</v>
      </c>
    </row>
    <row r="245" spans="1:11">
      <c r="A245" s="1" t="s">
        <v>295</v>
      </c>
      <c r="B245" s="1" t="s">
        <v>24</v>
      </c>
      <c r="C245" s="1" t="s">
        <v>25</v>
      </c>
      <c r="D245">
        <v>1</v>
      </c>
      <c r="E245">
        <v>1.57</v>
      </c>
      <c r="F245">
        <v>1.57</v>
      </c>
      <c r="G245" s="2">
        <v>45318</v>
      </c>
      <c r="H245" s="1" t="s">
        <v>14</v>
      </c>
      <c r="I245" s="1" t="s">
        <v>29</v>
      </c>
      <c r="J245">
        <v>1.57</v>
      </c>
      <c r="K245" s="1">
        <v>45292</v>
      </c>
    </row>
    <row r="246" spans="1:11">
      <c r="A246" s="1" t="s">
        <v>296</v>
      </c>
      <c r="B246" s="1" t="s">
        <v>56</v>
      </c>
      <c r="C246" s="1" t="s">
        <v>57</v>
      </c>
      <c r="D246">
        <v>15</v>
      </c>
      <c r="E246">
        <v>40.6</v>
      </c>
      <c r="F246">
        <v>609</v>
      </c>
      <c r="G246" s="2">
        <v>45537</v>
      </c>
      <c r="H246" s="1" t="s">
        <v>26</v>
      </c>
      <c r="I246" s="1" t="s">
        <v>81</v>
      </c>
      <c r="J246">
        <v>609</v>
      </c>
      <c r="K246" s="1">
        <v>45536</v>
      </c>
    </row>
    <row r="247" spans="1:11">
      <c r="A247" s="1" t="s">
        <v>297</v>
      </c>
      <c r="B247" s="1" t="s">
        <v>31</v>
      </c>
      <c r="C247" s="1" t="s">
        <v>32</v>
      </c>
      <c r="D247">
        <v>14</v>
      </c>
      <c r="E247">
        <v>272.22000000000003</v>
      </c>
      <c r="F247">
        <v>3811.08</v>
      </c>
      <c r="G247" s="2">
        <v>45401</v>
      </c>
      <c r="H247" s="1" t="s">
        <v>26</v>
      </c>
      <c r="I247" s="1" t="s">
        <v>27</v>
      </c>
      <c r="J247">
        <v>3811.08</v>
      </c>
      <c r="K247" s="1">
        <v>45383</v>
      </c>
    </row>
    <row r="248" spans="1:11">
      <c r="A248" s="1" t="s">
        <v>298</v>
      </c>
      <c r="B248" s="1" t="s">
        <v>40</v>
      </c>
      <c r="C248" s="1" t="s">
        <v>25</v>
      </c>
      <c r="D248">
        <v>14</v>
      </c>
      <c r="E248">
        <v>14.19</v>
      </c>
      <c r="F248">
        <v>198.66</v>
      </c>
      <c r="G248" s="2">
        <v>45539</v>
      </c>
      <c r="H248" s="1" t="s">
        <v>35</v>
      </c>
      <c r="I248" s="1" t="s">
        <v>41</v>
      </c>
      <c r="J248">
        <v>198.66</v>
      </c>
      <c r="K248" s="1">
        <v>45536</v>
      </c>
    </row>
    <row r="249" spans="1:11">
      <c r="A249" s="1" t="s">
        <v>299</v>
      </c>
      <c r="B249" s="1" t="s">
        <v>12</v>
      </c>
      <c r="C249" s="1" t="s">
        <v>13</v>
      </c>
      <c r="D249">
        <v>19</v>
      </c>
      <c r="E249">
        <v>165.29</v>
      </c>
      <c r="F249">
        <v>3140.51</v>
      </c>
      <c r="G249" s="2">
        <v>45496</v>
      </c>
      <c r="H249" s="1" t="s">
        <v>35</v>
      </c>
      <c r="I249" s="1" t="s">
        <v>66</v>
      </c>
      <c r="J249">
        <v>3140.51</v>
      </c>
      <c r="K249" s="1">
        <v>45474</v>
      </c>
    </row>
    <row r="250" spans="1:11">
      <c r="A250" s="1" t="s">
        <v>300</v>
      </c>
      <c r="B250" s="1" t="s">
        <v>24</v>
      </c>
      <c r="C250" s="1" t="s">
        <v>25</v>
      </c>
      <c r="D250">
        <v>13</v>
      </c>
      <c r="E250">
        <v>1.75</v>
      </c>
      <c r="F250">
        <v>22.75</v>
      </c>
      <c r="G250" s="2">
        <v>45440</v>
      </c>
      <c r="H250" s="1" t="s">
        <v>35</v>
      </c>
      <c r="I250" s="1" t="s">
        <v>85</v>
      </c>
      <c r="J250">
        <v>22.75</v>
      </c>
      <c r="K250" s="1">
        <v>45413</v>
      </c>
    </row>
    <row r="251" spans="1:11">
      <c r="A251" s="1" t="s">
        <v>301</v>
      </c>
      <c r="B251" s="1" t="s">
        <v>12</v>
      </c>
      <c r="C251" s="1" t="s">
        <v>13</v>
      </c>
      <c r="D251">
        <v>8</v>
      </c>
      <c r="E251">
        <v>146.26</v>
      </c>
      <c r="F251">
        <v>1170.08</v>
      </c>
      <c r="G251" s="2">
        <v>45478</v>
      </c>
      <c r="H251" s="1" t="s">
        <v>35</v>
      </c>
      <c r="I251" s="1" t="s">
        <v>87</v>
      </c>
      <c r="J251">
        <v>1170.08</v>
      </c>
      <c r="K251" s="1">
        <v>45474</v>
      </c>
    </row>
    <row r="252" spans="1:11">
      <c r="A252" s="1" t="s">
        <v>302</v>
      </c>
      <c r="B252" s="1" t="s">
        <v>17</v>
      </c>
      <c r="C252" s="1" t="s">
        <v>18</v>
      </c>
      <c r="D252">
        <v>19</v>
      </c>
      <c r="E252">
        <v>6.33</v>
      </c>
      <c r="F252">
        <v>120.27</v>
      </c>
      <c r="G252" s="2">
        <v>45434</v>
      </c>
      <c r="H252" s="1" t="s">
        <v>19</v>
      </c>
      <c r="I252" s="1" t="s">
        <v>47</v>
      </c>
      <c r="J252">
        <v>120.27</v>
      </c>
      <c r="K252" s="1">
        <v>45413</v>
      </c>
    </row>
    <row r="253" spans="1:11">
      <c r="A253" s="1" t="s">
        <v>303</v>
      </c>
      <c r="B253" s="1" t="s">
        <v>62</v>
      </c>
      <c r="C253" s="1" t="s">
        <v>32</v>
      </c>
      <c r="D253">
        <v>11</v>
      </c>
      <c r="E253">
        <v>960.7</v>
      </c>
      <c r="F253">
        <v>10567.7</v>
      </c>
      <c r="G253" s="2">
        <v>45587</v>
      </c>
      <c r="H253" s="1" t="s">
        <v>14</v>
      </c>
      <c r="I253" s="1" t="s">
        <v>36</v>
      </c>
      <c r="J253">
        <v>10567.7</v>
      </c>
      <c r="K253" s="1">
        <v>45566</v>
      </c>
    </row>
    <row r="254" spans="1:11">
      <c r="A254" s="1" t="s">
        <v>304</v>
      </c>
      <c r="B254" s="1" t="s">
        <v>21</v>
      </c>
      <c r="C254" s="1" t="s">
        <v>22</v>
      </c>
      <c r="D254">
        <v>1</v>
      </c>
      <c r="E254">
        <v>5315.45</v>
      </c>
      <c r="F254">
        <v>5315.45</v>
      </c>
      <c r="G254" s="2">
        <v>45604</v>
      </c>
      <c r="H254" s="1" t="s">
        <v>26</v>
      </c>
      <c r="I254" s="1" t="s">
        <v>98</v>
      </c>
      <c r="J254">
        <v>5315.45</v>
      </c>
      <c r="K254" s="1">
        <v>45597</v>
      </c>
    </row>
    <row r="255" spans="1:11">
      <c r="A255" s="1" t="s">
        <v>305</v>
      </c>
      <c r="B255" s="1" t="s">
        <v>17</v>
      </c>
      <c r="C255" s="1" t="s">
        <v>18</v>
      </c>
      <c r="D255">
        <v>1</v>
      </c>
      <c r="E255">
        <v>8.77</v>
      </c>
      <c r="F255">
        <v>8.77</v>
      </c>
      <c r="G255" s="2">
        <v>45402</v>
      </c>
      <c r="H255" s="1" t="s">
        <v>14</v>
      </c>
      <c r="I255" s="1" t="s">
        <v>33</v>
      </c>
      <c r="J255">
        <v>8.77</v>
      </c>
      <c r="K255" s="1">
        <v>45383</v>
      </c>
    </row>
    <row r="256" spans="1:11">
      <c r="A256" s="1" t="s">
        <v>306</v>
      </c>
      <c r="B256" s="1" t="s">
        <v>43</v>
      </c>
      <c r="C256" s="1" t="s">
        <v>13</v>
      </c>
      <c r="D256">
        <v>17</v>
      </c>
      <c r="E256">
        <v>152.66</v>
      </c>
      <c r="F256">
        <v>2595.2199999999998</v>
      </c>
      <c r="G256" s="2">
        <v>45634</v>
      </c>
      <c r="H256" s="1" t="s">
        <v>35</v>
      </c>
      <c r="I256" s="1" t="s">
        <v>85</v>
      </c>
      <c r="J256">
        <v>2595.2199999999998</v>
      </c>
      <c r="K256" s="1">
        <v>45627</v>
      </c>
    </row>
    <row r="257" spans="1:11">
      <c r="A257" s="1" t="s">
        <v>307</v>
      </c>
      <c r="B257" s="1" t="s">
        <v>54</v>
      </c>
      <c r="C257" s="1" t="s">
        <v>32</v>
      </c>
      <c r="D257">
        <v>1</v>
      </c>
      <c r="E257">
        <v>233.93</v>
      </c>
      <c r="F257">
        <v>233.93</v>
      </c>
      <c r="G257" s="2">
        <v>45485</v>
      </c>
      <c r="H257" s="1" t="s">
        <v>14</v>
      </c>
      <c r="I257" s="1" t="s">
        <v>81</v>
      </c>
      <c r="J257">
        <v>233.93</v>
      </c>
      <c r="K257" s="1">
        <v>45474</v>
      </c>
    </row>
    <row r="258" spans="1:11">
      <c r="A258" s="1" t="s">
        <v>308</v>
      </c>
      <c r="B258" s="1" t="s">
        <v>12</v>
      </c>
      <c r="C258" s="1" t="s">
        <v>13</v>
      </c>
      <c r="D258">
        <v>2</v>
      </c>
      <c r="E258">
        <v>198.18</v>
      </c>
      <c r="F258">
        <v>396.36</v>
      </c>
      <c r="G258" s="2">
        <v>45553</v>
      </c>
      <c r="H258" s="1" t="s">
        <v>35</v>
      </c>
      <c r="I258" s="1" t="s">
        <v>98</v>
      </c>
      <c r="J258">
        <v>396.36</v>
      </c>
      <c r="K258" s="1">
        <v>45536</v>
      </c>
    </row>
    <row r="259" spans="1:11">
      <c r="A259" s="1" t="s">
        <v>309</v>
      </c>
      <c r="B259" s="1" t="s">
        <v>17</v>
      </c>
      <c r="C259" s="1" t="s">
        <v>18</v>
      </c>
      <c r="D259">
        <v>1</v>
      </c>
      <c r="E259">
        <v>14.02</v>
      </c>
      <c r="F259">
        <v>14.02</v>
      </c>
      <c r="G259" s="2">
        <v>45647</v>
      </c>
      <c r="H259" s="1" t="s">
        <v>45</v>
      </c>
      <c r="I259" s="1" t="s">
        <v>29</v>
      </c>
      <c r="J259">
        <v>14.02</v>
      </c>
      <c r="K259" s="1">
        <v>45627</v>
      </c>
    </row>
    <row r="260" spans="1:11">
      <c r="A260" s="1" t="s">
        <v>310</v>
      </c>
      <c r="B260" s="1" t="s">
        <v>12</v>
      </c>
      <c r="C260" s="1" t="s">
        <v>13</v>
      </c>
      <c r="D260">
        <v>17</v>
      </c>
      <c r="E260">
        <v>155.57</v>
      </c>
      <c r="F260">
        <v>2644.69</v>
      </c>
      <c r="G260" s="2">
        <v>45636</v>
      </c>
      <c r="H260" s="1" t="s">
        <v>35</v>
      </c>
      <c r="I260" s="1" t="s">
        <v>47</v>
      </c>
      <c r="J260">
        <v>2644.69</v>
      </c>
      <c r="K260" s="1">
        <v>45627</v>
      </c>
    </row>
    <row r="261" spans="1:11">
      <c r="A261" s="1" t="s">
        <v>311</v>
      </c>
      <c r="B261" s="1" t="s">
        <v>62</v>
      </c>
      <c r="C261" s="1" t="s">
        <v>32</v>
      </c>
      <c r="D261">
        <v>11</v>
      </c>
      <c r="E261">
        <v>971.94</v>
      </c>
      <c r="F261">
        <v>10691.34</v>
      </c>
      <c r="G261" s="2">
        <v>45619</v>
      </c>
      <c r="H261" s="1" t="s">
        <v>45</v>
      </c>
      <c r="I261" s="1" t="s">
        <v>98</v>
      </c>
      <c r="J261">
        <v>10691.34</v>
      </c>
      <c r="K261" s="1">
        <v>45597</v>
      </c>
    </row>
    <row r="262" spans="1:11">
      <c r="A262" s="1" t="s">
        <v>312</v>
      </c>
      <c r="B262" s="1" t="s">
        <v>62</v>
      </c>
      <c r="C262" s="1" t="s">
        <v>32</v>
      </c>
      <c r="D262">
        <v>9</v>
      </c>
      <c r="E262">
        <v>908.32</v>
      </c>
      <c r="F262">
        <v>8174.88</v>
      </c>
      <c r="G262" s="2">
        <v>45529</v>
      </c>
      <c r="H262" s="1" t="s">
        <v>45</v>
      </c>
      <c r="I262" s="1" t="s">
        <v>15</v>
      </c>
      <c r="J262">
        <v>8174.88</v>
      </c>
      <c r="K262" s="1">
        <v>45505</v>
      </c>
    </row>
    <row r="263" spans="1:11">
      <c r="A263" s="1" t="s">
        <v>313</v>
      </c>
      <c r="B263" s="1" t="s">
        <v>43</v>
      </c>
      <c r="C263" s="1" t="s">
        <v>13</v>
      </c>
      <c r="D263">
        <v>14</v>
      </c>
      <c r="E263">
        <v>113.58</v>
      </c>
      <c r="F263">
        <v>1590.12</v>
      </c>
      <c r="G263" s="2">
        <v>45451</v>
      </c>
      <c r="H263" s="1" t="s">
        <v>14</v>
      </c>
      <c r="I263" s="1" t="s">
        <v>38</v>
      </c>
      <c r="J263">
        <v>1590.12</v>
      </c>
      <c r="K263" s="1">
        <v>45444</v>
      </c>
    </row>
    <row r="264" spans="1:11">
      <c r="A264" s="1" t="s">
        <v>314</v>
      </c>
      <c r="B264" s="1" t="s">
        <v>54</v>
      </c>
      <c r="C264" s="1" t="s">
        <v>32</v>
      </c>
      <c r="D264">
        <v>10</v>
      </c>
      <c r="E264">
        <v>242.82</v>
      </c>
      <c r="F264">
        <v>2428.1999999999998</v>
      </c>
      <c r="G264" s="2">
        <v>45516</v>
      </c>
      <c r="H264" s="1" t="s">
        <v>14</v>
      </c>
      <c r="I264" s="1" t="s">
        <v>135</v>
      </c>
      <c r="J264">
        <v>2428.1999999999998</v>
      </c>
      <c r="K264" s="1">
        <v>45505</v>
      </c>
    </row>
    <row r="265" spans="1:11">
      <c r="A265" s="1" t="s">
        <v>315</v>
      </c>
      <c r="B265" s="1" t="s">
        <v>43</v>
      </c>
      <c r="C265" s="1" t="s">
        <v>13</v>
      </c>
      <c r="D265">
        <v>12</v>
      </c>
      <c r="E265">
        <v>177.73</v>
      </c>
      <c r="F265">
        <v>2132.7600000000002</v>
      </c>
      <c r="G265" s="2">
        <v>45386</v>
      </c>
      <c r="H265" s="1" t="s">
        <v>35</v>
      </c>
      <c r="I265" s="1" t="s">
        <v>71</v>
      </c>
      <c r="J265">
        <v>2132.7600000000002</v>
      </c>
      <c r="K265" s="1">
        <v>45383</v>
      </c>
    </row>
    <row r="266" spans="1:11">
      <c r="A266" s="1" t="s">
        <v>316</v>
      </c>
      <c r="B266" s="1" t="s">
        <v>56</v>
      </c>
      <c r="C266" s="1" t="s">
        <v>57</v>
      </c>
      <c r="D266">
        <v>17</v>
      </c>
      <c r="E266">
        <v>34.51</v>
      </c>
      <c r="F266">
        <v>586.66999999999996</v>
      </c>
      <c r="G266" s="2">
        <v>45292</v>
      </c>
      <c r="H266" s="1" t="s">
        <v>19</v>
      </c>
      <c r="I266" s="1" t="s">
        <v>66</v>
      </c>
      <c r="J266">
        <v>586.66999999999996</v>
      </c>
      <c r="K266" s="1">
        <v>45292</v>
      </c>
    </row>
    <row r="267" spans="1:11">
      <c r="A267" s="1" t="s">
        <v>317</v>
      </c>
      <c r="B267" s="1" t="s">
        <v>31</v>
      </c>
      <c r="C267" s="1" t="s">
        <v>32</v>
      </c>
      <c r="D267">
        <v>4</v>
      </c>
      <c r="E267">
        <v>277.36</v>
      </c>
      <c r="F267">
        <v>1109.44</v>
      </c>
      <c r="G267" s="2">
        <v>45510</v>
      </c>
      <c r="H267" s="1" t="s">
        <v>35</v>
      </c>
      <c r="I267" s="1" t="s">
        <v>27</v>
      </c>
      <c r="J267">
        <v>1109.44</v>
      </c>
      <c r="K267" s="1">
        <v>45505</v>
      </c>
    </row>
    <row r="268" spans="1:11">
      <c r="A268" s="1" t="s">
        <v>318</v>
      </c>
      <c r="B268" s="1" t="s">
        <v>56</v>
      </c>
      <c r="C268" s="1" t="s">
        <v>57</v>
      </c>
      <c r="D268">
        <v>6</v>
      </c>
      <c r="E268">
        <v>26.64</v>
      </c>
      <c r="F268">
        <v>159.84</v>
      </c>
      <c r="G268" s="2">
        <v>45592</v>
      </c>
      <c r="H268" s="1" t="s">
        <v>45</v>
      </c>
      <c r="I268" s="1" t="s">
        <v>15</v>
      </c>
      <c r="J268">
        <v>159.84</v>
      </c>
      <c r="K268" s="1">
        <v>45566</v>
      </c>
    </row>
    <row r="269" spans="1:11">
      <c r="A269" s="1" t="s">
        <v>319</v>
      </c>
      <c r="B269" s="1" t="s">
        <v>12</v>
      </c>
      <c r="C269" s="1" t="s">
        <v>13</v>
      </c>
      <c r="D269">
        <v>9</v>
      </c>
      <c r="E269">
        <v>115.09</v>
      </c>
      <c r="F269">
        <v>1035.81</v>
      </c>
      <c r="G269" s="2">
        <v>45314</v>
      </c>
      <c r="H269" s="1" t="s">
        <v>14</v>
      </c>
      <c r="I269" s="1" t="s">
        <v>33</v>
      </c>
      <c r="J269">
        <v>1035.81</v>
      </c>
      <c r="K269" s="1">
        <v>45292</v>
      </c>
    </row>
    <row r="270" spans="1:11">
      <c r="A270" s="1" t="s">
        <v>320</v>
      </c>
      <c r="B270" s="1" t="s">
        <v>62</v>
      </c>
      <c r="C270" s="1" t="s">
        <v>32</v>
      </c>
      <c r="D270">
        <v>2</v>
      </c>
      <c r="E270">
        <v>859.47</v>
      </c>
      <c r="F270">
        <v>1718.94</v>
      </c>
      <c r="G270" s="2">
        <v>45413</v>
      </c>
      <c r="H270" s="1" t="s">
        <v>45</v>
      </c>
      <c r="I270" s="1" t="s">
        <v>135</v>
      </c>
      <c r="J270">
        <v>1718.94</v>
      </c>
      <c r="K270" s="1">
        <v>45413</v>
      </c>
    </row>
    <row r="271" spans="1:11">
      <c r="A271" s="1" t="s">
        <v>321</v>
      </c>
      <c r="B271" s="1" t="s">
        <v>17</v>
      </c>
      <c r="C271" s="1" t="s">
        <v>18</v>
      </c>
      <c r="D271">
        <v>2</v>
      </c>
      <c r="E271">
        <v>12.89</v>
      </c>
      <c r="F271">
        <v>25.78</v>
      </c>
      <c r="G271" s="2">
        <v>45412</v>
      </c>
      <c r="H271" s="1" t="s">
        <v>45</v>
      </c>
      <c r="I271" s="1" t="s">
        <v>87</v>
      </c>
      <c r="J271">
        <v>25.78</v>
      </c>
      <c r="K271" s="1">
        <v>45383</v>
      </c>
    </row>
    <row r="272" spans="1:11">
      <c r="A272" s="1" t="s">
        <v>322</v>
      </c>
      <c r="B272" s="1" t="s">
        <v>43</v>
      </c>
      <c r="C272" s="1" t="s">
        <v>13</v>
      </c>
      <c r="D272">
        <v>8</v>
      </c>
      <c r="E272">
        <v>195.03</v>
      </c>
      <c r="F272">
        <v>1560.24</v>
      </c>
      <c r="G272" s="2">
        <v>45332</v>
      </c>
      <c r="H272" s="1" t="s">
        <v>14</v>
      </c>
      <c r="I272" s="1" t="s">
        <v>36</v>
      </c>
      <c r="J272">
        <v>1560.24</v>
      </c>
      <c r="K272" s="1">
        <v>45323</v>
      </c>
    </row>
    <row r="273" spans="1:11">
      <c r="A273" s="1" t="s">
        <v>323</v>
      </c>
      <c r="B273" s="1" t="s">
        <v>54</v>
      </c>
      <c r="C273" s="1" t="s">
        <v>32</v>
      </c>
      <c r="D273">
        <v>4</v>
      </c>
      <c r="E273">
        <v>254.89</v>
      </c>
      <c r="F273">
        <v>1019.56</v>
      </c>
      <c r="G273" s="2">
        <v>45403</v>
      </c>
      <c r="H273" s="1" t="s">
        <v>14</v>
      </c>
      <c r="I273" s="1" t="s">
        <v>27</v>
      </c>
      <c r="J273">
        <v>1019.56</v>
      </c>
      <c r="K273" s="1">
        <v>45383</v>
      </c>
    </row>
    <row r="274" spans="1:11">
      <c r="A274" s="1" t="s">
        <v>324</v>
      </c>
      <c r="B274" s="1" t="s">
        <v>56</v>
      </c>
      <c r="C274" s="1" t="s">
        <v>57</v>
      </c>
      <c r="D274">
        <v>18</v>
      </c>
      <c r="E274">
        <v>41.77</v>
      </c>
      <c r="F274">
        <v>751.86</v>
      </c>
      <c r="G274" s="2">
        <v>45596</v>
      </c>
      <c r="H274" s="1" t="s">
        <v>35</v>
      </c>
      <c r="I274" s="1" t="s">
        <v>81</v>
      </c>
      <c r="J274">
        <v>751.86</v>
      </c>
      <c r="K274" s="1">
        <v>45566</v>
      </c>
    </row>
    <row r="275" spans="1:11">
      <c r="A275" s="1" t="s">
        <v>325</v>
      </c>
      <c r="B275" s="1" t="s">
        <v>12</v>
      </c>
      <c r="C275" s="1" t="s">
        <v>13</v>
      </c>
      <c r="D275">
        <v>10</v>
      </c>
      <c r="E275">
        <v>131.54</v>
      </c>
      <c r="F275">
        <v>1315.4</v>
      </c>
      <c r="G275" s="2">
        <v>45490</v>
      </c>
      <c r="H275" s="1" t="s">
        <v>14</v>
      </c>
      <c r="I275" s="1" t="s">
        <v>81</v>
      </c>
      <c r="J275">
        <v>1315.4</v>
      </c>
      <c r="K275" s="1">
        <v>45474</v>
      </c>
    </row>
    <row r="276" spans="1:11">
      <c r="A276" s="1" t="s">
        <v>326</v>
      </c>
      <c r="B276" s="1" t="s">
        <v>17</v>
      </c>
      <c r="C276" s="1" t="s">
        <v>18</v>
      </c>
      <c r="D276">
        <v>5</v>
      </c>
      <c r="E276">
        <v>11.33</v>
      </c>
      <c r="F276">
        <v>56.65</v>
      </c>
      <c r="G276" s="2">
        <v>45426</v>
      </c>
      <c r="H276" s="1" t="s">
        <v>45</v>
      </c>
      <c r="I276" s="1" t="s">
        <v>58</v>
      </c>
      <c r="J276">
        <v>56.65</v>
      </c>
      <c r="K276" s="1">
        <v>45413</v>
      </c>
    </row>
    <row r="277" spans="1:11">
      <c r="A277" s="1" t="s">
        <v>327</v>
      </c>
      <c r="B277" s="1" t="s">
        <v>40</v>
      </c>
      <c r="C277" s="1" t="s">
        <v>25</v>
      </c>
      <c r="D277">
        <v>16</v>
      </c>
      <c r="E277">
        <v>13.84</v>
      </c>
      <c r="F277">
        <v>221.44</v>
      </c>
      <c r="G277" s="2">
        <v>45296</v>
      </c>
      <c r="H277" s="1" t="s">
        <v>26</v>
      </c>
      <c r="I277" s="1" t="s">
        <v>27</v>
      </c>
      <c r="J277">
        <v>221.44</v>
      </c>
      <c r="K277" s="1">
        <v>45292</v>
      </c>
    </row>
    <row r="278" spans="1:11">
      <c r="A278" s="1" t="s">
        <v>328</v>
      </c>
      <c r="B278" s="1" t="s">
        <v>54</v>
      </c>
      <c r="C278" s="1" t="s">
        <v>32</v>
      </c>
      <c r="D278">
        <v>13</v>
      </c>
      <c r="E278">
        <v>276.45999999999998</v>
      </c>
      <c r="F278">
        <v>3593.98</v>
      </c>
      <c r="G278" s="2">
        <v>45451</v>
      </c>
      <c r="H278" s="1" t="s">
        <v>14</v>
      </c>
      <c r="I278" s="1" t="s">
        <v>58</v>
      </c>
      <c r="J278">
        <v>3593.98</v>
      </c>
      <c r="K278" s="1">
        <v>45444</v>
      </c>
    </row>
    <row r="279" spans="1:11">
      <c r="A279" s="1" t="s">
        <v>329</v>
      </c>
      <c r="B279" s="1" t="s">
        <v>54</v>
      </c>
      <c r="C279" s="1" t="s">
        <v>32</v>
      </c>
      <c r="D279">
        <v>12</v>
      </c>
      <c r="E279">
        <v>253.77</v>
      </c>
      <c r="F279">
        <v>3045.24</v>
      </c>
      <c r="G279" s="2">
        <v>45350</v>
      </c>
      <c r="H279" s="1" t="s">
        <v>26</v>
      </c>
      <c r="I279" s="1" t="s">
        <v>135</v>
      </c>
      <c r="J279">
        <v>3045.24</v>
      </c>
      <c r="K279" s="1">
        <v>45323</v>
      </c>
    </row>
    <row r="280" spans="1:11">
      <c r="A280" s="1" t="s">
        <v>330</v>
      </c>
      <c r="B280" s="1" t="s">
        <v>40</v>
      </c>
      <c r="C280" s="1" t="s">
        <v>25</v>
      </c>
      <c r="D280">
        <v>3</v>
      </c>
      <c r="E280">
        <v>14.61</v>
      </c>
      <c r="F280">
        <v>43.83</v>
      </c>
      <c r="G280" s="2">
        <v>45448</v>
      </c>
      <c r="H280" s="1" t="s">
        <v>35</v>
      </c>
      <c r="I280" s="1" t="s">
        <v>66</v>
      </c>
      <c r="J280">
        <v>43.83</v>
      </c>
      <c r="K280" s="1">
        <v>45444</v>
      </c>
    </row>
    <row r="281" spans="1:11">
      <c r="A281" s="1" t="s">
        <v>331</v>
      </c>
      <c r="B281" s="1" t="s">
        <v>62</v>
      </c>
      <c r="C281" s="1" t="s">
        <v>32</v>
      </c>
      <c r="D281">
        <v>13</v>
      </c>
      <c r="E281">
        <v>872.33</v>
      </c>
      <c r="F281">
        <v>11340.29</v>
      </c>
      <c r="G281" s="2">
        <v>45584</v>
      </c>
      <c r="H281" s="1" t="s">
        <v>19</v>
      </c>
      <c r="I281" s="1" t="s">
        <v>81</v>
      </c>
      <c r="J281">
        <v>11340.29</v>
      </c>
      <c r="K281" s="1">
        <v>45566</v>
      </c>
    </row>
    <row r="282" spans="1:11">
      <c r="A282" s="1" t="s">
        <v>332</v>
      </c>
      <c r="B282" s="1" t="s">
        <v>21</v>
      </c>
      <c r="C282" s="1" t="s">
        <v>22</v>
      </c>
      <c r="D282">
        <v>1</v>
      </c>
      <c r="E282">
        <v>9452.25</v>
      </c>
      <c r="F282">
        <v>9452.25</v>
      </c>
      <c r="G282" s="2">
        <v>45460</v>
      </c>
      <c r="H282" s="1" t="s">
        <v>45</v>
      </c>
      <c r="I282" s="1" t="s">
        <v>51</v>
      </c>
      <c r="J282">
        <v>9452.25</v>
      </c>
      <c r="K282" s="1">
        <v>45444</v>
      </c>
    </row>
    <row r="283" spans="1:11">
      <c r="A283" s="1" t="s">
        <v>333</v>
      </c>
      <c r="B283" s="1" t="s">
        <v>54</v>
      </c>
      <c r="C283" s="1" t="s">
        <v>32</v>
      </c>
      <c r="D283">
        <v>14</v>
      </c>
      <c r="E283">
        <v>226.49</v>
      </c>
      <c r="F283">
        <v>3170.86</v>
      </c>
      <c r="G283" s="2">
        <v>45554</v>
      </c>
      <c r="H283" s="1" t="s">
        <v>19</v>
      </c>
      <c r="I283" s="1" t="s">
        <v>47</v>
      </c>
      <c r="J283">
        <v>3170.86</v>
      </c>
      <c r="K283" s="1">
        <v>45536</v>
      </c>
    </row>
    <row r="284" spans="1:11">
      <c r="A284" s="1" t="s">
        <v>334</v>
      </c>
      <c r="B284" s="1" t="s">
        <v>12</v>
      </c>
      <c r="C284" s="1" t="s">
        <v>13</v>
      </c>
      <c r="D284">
        <v>12</v>
      </c>
      <c r="E284">
        <v>100.9</v>
      </c>
      <c r="F284">
        <v>1210.8</v>
      </c>
      <c r="G284" s="2">
        <v>45566</v>
      </c>
      <c r="H284" s="1" t="s">
        <v>14</v>
      </c>
      <c r="I284" s="1" t="s">
        <v>38</v>
      </c>
      <c r="J284">
        <v>1210.8</v>
      </c>
      <c r="K284" s="1">
        <v>45566</v>
      </c>
    </row>
    <row r="285" spans="1:11">
      <c r="A285" s="1" t="s">
        <v>335</v>
      </c>
      <c r="B285" s="1" t="s">
        <v>24</v>
      </c>
      <c r="C285" s="1" t="s">
        <v>25</v>
      </c>
      <c r="D285">
        <v>14</v>
      </c>
      <c r="E285">
        <v>2.0099999999999998</v>
      </c>
      <c r="F285">
        <v>28.14</v>
      </c>
      <c r="G285" s="2">
        <v>45344</v>
      </c>
      <c r="H285" s="1" t="s">
        <v>14</v>
      </c>
      <c r="I285" s="1" t="s">
        <v>47</v>
      </c>
      <c r="J285">
        <v>28.14</v>
      </c>
      <c r="K285" s="1">
        <v>45323</v>
      </c>
    </row>
    <row r="286" spans="1:11">
      <c r="A286" s="1" t="s">
        <v>336</v>
      </c>
      <c r="B286" s="1" t="s">
        <v>54</v>
      </c>
      <c r="C286" s="1" t="s">
        <v>32</v>
      </c>
      <c r="D286">
        <v>9</v>
      </c>
      <c r="E286">
        <v>315.2</v>
      </c>
      <c r="F286">
        <v>2836.8</v>
      </c>
      <c r="G286" s="2">
        <v>45364</v>
      </c>
      <c r="H286" s="1" t="s">
        <v>35</v>
      </c>
      <c r="I286" s="1" t="s">
        <v>135</v>
      </c>
      <c r="J286">
        <v>2836.8</v>
      </c>
      <c r="K286" s="1">
        <v>45352</v>
      </c>
    </row>
    <row r="287" spans="1:11">
      <c r="A287" s="1" t="s">
        <v>337</v>
      </c>
      <c r="B287" s="1" t="s">
        <v>21</v>
      </c>
      <c r="C287" s="1" t="s">
        <v>22</v>
      </c>
      <c r="D287">
        <v>1</v>
      </c>
      <c r="E287">
        <v>6678.13</v>
      </c>
      <c r="F287">
        <v>6678.13</v>
      </c>
      <c r="G287" s="2">
        <v>45305</v>
      </c>
      <c r="H287" s="1" t="s">
        <v>45</v>
      </c>
      <c r="I287" s="1" t="s">
        <v>38</v>
      </c>
      <c r="J287">
        <v>6678.13</v>
      </c>
      <c r="K287" s="1">
        <v>45292</v>
      </c>
    </row>
    <row r="288" spans="1:11">
      <c r="A288" s="1" t="s">
        <v>338</v>
      </c>
      <c r="B288" s="1" t="s">
        <v>12</v>
      </c>
      <c r="C288" s="1" t="s">
        <v>13</v>
      </c>
      <c r="D288">
        <v>11</v>
      </c>
      <c r="E288">
        <v>177.57</v>
      </c>
      <c r="F288">
        <v>1953.27</v>
      </c>
      <c r="G288" s="2">
        <v>45400</v>
      </c>
      <c r="H288" s="1" t="s">
        <v>35</v>
      </c>
      <c r="I288" s="1" t="s">
        <v>29</v>
      </c>
      <c r="J288">
        <v>1953.27</v>
      </c>
      <c r="K288" s="1">
        <v>45383</v>
      </c>
    </row>
    <row r="289" spans="1:11">
      <c r="A289" s="1" t="s">
        <v>339</v>
      </c>
      <c r="B289" s="1" t="s">
        <v>17</v>
      </c>
      <c r="C289" s="1" t="s">
        <v>18</v>
      </c>
      <c r="D289">
        <v>3</v>
      </c>
      <c r="E289">
        <v>13.69</v>
      </c>
      <c r="F289">
        <v>41.07</v>
      </c>
      <c r="G289" s="2">
        <v>45588</v>
      </c>
      <c r="H289" s="1" t="s">
        <v>35</v>
      </c>
      <c r="I289" s="1" t="s">
        <v>38</v>
      </c>
      <c r="J289">
        <v>41.07</v>
      </c>
      <c r="K289" s="1">
        <v>45566</v>
      </c>
    </row>
    <row r="290" spans="1:11">
      <c r="A290" s="1" t="s">
        <v>340</v>
      </c>
      <c r="B290" s="1" t="s">
        <v>12</v>
      </c>
      <c r="C290" s="1" t="s">
        <v>13</v>
      </c>
      <c r="D290">
        <v>17</v>
      </c>
      <c r="E290">
        <v>134.11000000000001</v>
      </c>
      <c r="F290">
        <v>2279.87</v>
      </c>
      <c r="G290" s="2">
        <v>45613</v>
      </c>
      <c r="H290" s="1" t="s">
        <v>19</v>
      </c>
      <c r="I290" s="1" t="s">
        <v>33</v>
      </c>
      <c r="J290">
        <v>2279.87</v>
      </c>
      <c r="K290" s="1">
        <v>45597</v>
      </c>
    </row>
    <row r="291" spans="1:11">
      <c r="A291" s="1" t="s">
        <v>341</v>
      </c>
      <c r="B291" s="1" t="s">
        <v>62</v>
      </c>
      <c r="C291" s="1" t="s">
        <v>32</v>
      </c>
      <c r="D291">
        <v>12</v>
      </c>
      <c r="E291">
        <v>861.92</v>
      </c>
      <c r="F291">
        <v>10343.040000000001</v>
      </c>
      <c r="G291" s="2">
        <v>45362</v>
      </c>
      <c r="H291" s="1" t="s">
        <v>19</v>
      </c>
      <c r="I291" s="1" t="s">
        <v>135</v>
      </c>
      <c r="J291">
        <v>10343.040000000001</v>
      </c>
      <c r="K291" s="1">
        <v>45352</v>
      </c>
    </row>
    <row r="292" spans="1:11">
      <c r="A292" s="1" t="s">
        <v>342</v>
      </c>
      <c r="B292" s="1" t="s">
        <v>54</v>
      </c>
      <c r="C292" s="1" t="s">
        <v>32</v>
      </c>
      <c r="D292">
        <v>11</v>
      </c>
      <c r="E292">
        <v>201.29</v>
      </c>
      <c r="F292">
        <v>2214.19</v>
      </c>
      <c r="G292" s="2">
        <v>45606</v>
      </c>
      <c r="H292" s="1" t="s">
        <v>45</v>
      </c>
      <c r="I292" s="1" t="s">
        <v>135</v>
      </c>
      <c r="J292">
        <v>2214.19</v>
      </c>
      <c r="K292" s="1">
        <v>45597</v>
      </c>
    </row>
    <row r="293" spans="1:11">
      <c r="A293" s="1" t="s">
        <v>343</v>
      </c>
      <c r="B293" s="1" t="s">
        <v>56</v>
      </c>
      <c r="C293" s="1" t="s">
        <v>57</v>
      </c>
      <c r="D293">
        <v>15</v>
      </c>
      <c r="E293">
        <v>32.31</v>
      </c>
      <c r="F293">
        <v>484.65</v>
      </c>
      <c r="G293" s="2">
        <v>45448</v>
      </c>
      <c r="H293" s="1" t="s">
        <v>35</v>
      </c>
      <c r="I293" s="1" t="s">
        <v>27</v>
      </c>
      <c r="J293">
        <v>484.65</v>
      </c>
      <c r="K293" s="1">
        <v>45444</v>
      </c>
    </row>
    <row r="294" spans="1:11">
      <c r="A294" s="1" t="s">
        <v>344</v>
      </c>
      <c r="B294" s="1" t="s">
        <v>40</v>
      </c>
      <c r="C294" s="1" t="s">
        <v>25</v>
      </c>
      <c r="D294">
        <v>14</v>
      </c>
      <c r="E294">
        <v>12.57</v>
      </c>
      <c r="F294">
        <v>175.98</v>
      </c>
      <c r="G294" s="2">
        <v>45517</v>
      </c>
      <c r="H294" s="1" t="s">
        <v>26</v>
      </c>
      <c r="I294" s="1" t="s">
        <v>47</v>
      </c>
      <c r="J294">
        <v>175.98</v>
      </c>
      <c r="K294" s="1">
        <v>45505</v>
      </c>
    </row>
    <row r="295" spans="1:11">
      <c r="A295" s="1" t="s">
        <v>345</v>
      </c>
      <c r="B295" s="1" t="s">
        <v>31</v>
      </c>
      <c r="C295" s="1" t="s">
        <v>32</v>
      </c>
      <c r="D295">
        <v>12</v>
      </c>
      <c r="E295">
        <v>192.13</v>
      </c>
      <c r="F295">
        <v>2305.56</v>
      </c>
      <c r="G295" s="2">
        <v>45306</v>
      </c>
      <c r="H295" s="1" t="s">
        <v>35</v>
      </c>
      <c r="I295" s="1" t="s">
        <v>96</v>
      </c>
      <c r="J295">
        <v>2305.56</v>
      </c>
      <c r="K295" s="1">
        <v>45292</v>
      </c>
    </row>
    <row r="296" spans="1:11">
      <c r="A296" s="1" t="s">
        <v>346</v>
      </c>
      <c r="B296" s="1" t="s">
        <v>56</v>
      </c>
      <c r="C296" s="1" t="s">
        <v>57</v>
      </c>
      <c r="D296">
        <v>15</v>
      </c>
      <c r="E296">
        <v>22.7</v>
      </c>
      <c r="F296">
        <v>340.5</v>
      </c>
      <c r="G296" s="2">
        <v>45656</v>
      </c>
      <c r="H296" s="1" t="s">
        <v>14</v>
      </c>
      <c r="I296" s="1" t="s">
        <v>81</v>
      </c>
      <c r="J296">
        <v>340.5</v>
      </c>
      <c r="K296" s="1">
        <v>45627</v>
      </c>
    </row>
    <row r="297" spans="1:11">
      <c r="A297" s="1" t="s">
        <v>347</v>
      </c>
      <c r="B297" s="1" t="s">
        <v>43</v>
      </c>
      <c r="C297" s="1" t="s">
        <v>13</v>
      </c>
      <c r="D297">
        <v>5</v>
      </c>
      <c r="E297">
        <v>109.14</v>
      </c>
      <c r="F297">
        <v>545.70000000000005</v>
      </c>
      <c r="G297" s="2">
        <v>45563</v>
      </c>
      <c r="H297" s="1" t="s">
        <v>45</v>
      </c>
      <c r="I297" s="1" t="s">
        <v>81</v>
      </c>
      <c r="J297">
        <v>545.70000000000005</v>
      </c>
      <c r="K297" s="1">
        <v>45536</v>
      </c>
    </row>
    <row r="298" spans="1:11">
      <c r="A298" s="1" t="s">
        <v>348</v>
      </c>
      <c r="B298" s="1" t="s">
        <v>21</v>
      </c>
      <c r="C298" s="1" t="s">
        <v>22</v>
      </c>
      <c r="D298">
        <v>1</v>
      </c>
      <c r="E298">
        <v>9503.77</v>
      </c>
      <c r="F298">
        <v>9503.77</v>
      </c>
      <c r="G298" s="2">
        <v>45611</v>
      </c>
      <c r="H298" s="1" t="s">
        <v>45</v>
      </c>
      <c r="I298" s="1" t="s">
        <v>60</v>
      </c>
      <c r="J298">
        <v>9503.77</v>
      </c>
      <c r="K298" s="1">
        <v>45597</v>
      </c>
    </row>
    <row r="299" spans="1:11">
      <c r="A299" s="1" t="s">
        <v>349</v>
      </c>
      <c r="B299" s="1" t="s">
        <v>21</v>
      </c>
      <c r="C299" s="1" t="s">
        <v>22</v>
      </c>
      <c r="D299">
        <v>1</v>
      </c>
      <c r="E299">
        <v>5489.81</v>
      </c>
      <c r="F299">
        <v>5489.81</v>
      </c>
      <c r="G299" s="2">
        <v>45598</v>
      </c>
      <c r="H299" s="1" t="s">
        <v>14</v>
      </c>
      <c r="I299" s="1" t="s">
        <v>36</v>
      </c>
      <c r="J299">
        <v>5489.81</v>
      </c>
      <c r="K299" s="1">
        <v>45597</v>
      </c>
    </row>
    <row r="300" spans="1:11">
      <c r="A300" s="1" t="s">
        <v>350</v>
      </c>
      <c r="B300" s="1" t="s">
        <v>24</v>
      </c>
      <c r="C300" s="1" t="s">
        <v>25</v>
      </c>
      <c r="D300">
        <v>11</v>
      </c>
      <c r="E300">
        <v>1.23</v>
      </c>
      <c r="F300">
        <v>13.53</v>
      </c>
      <c r="G300" s="2">
        <v>45498</v>
      </c>
      <c r="H300" s="1" t="s">
        <v>45</v>
      </c>
      <c r="I300" s="1" t="s">
        <v>60</v>
      </c>
      <c r="J300">
        <v>13.53</v>
      </c>
      <c r="K300" s="1">
        <v>45474</v>
      </c>
    </row>
    <row r="301" spans="1:11">
      <c r="A301" s="1" t="s">
        <v>351</v>
      </c>
      <c r="B301" s="1" t="s">
        <v>62</v>
      </c>
      <c r="C301" s="1" t="s">
        <v>32</v>
      </c>
      <c r="D301">
        <v>1</v>
      </c>
      <c r="E301">
        <v>871.95</v>
      </c>
      <c r="F301">
        <v>871.95</v>
      </c>
      <c r="G301" s="2">
        <v>45621</v>
      </c>
      <c r="H301" s="1" t="s">
        <v>35</v>
      </c>
      <c r="I301" s="1" t="s">
        <v>66</v>
      </c>
      <c r="J301">
        <v>871.95</v>
      </c>
      <c r="K301" s="1">
        <v>45597</v>
      </c>
    </row>
    <row r="302" spans="1:11">
      <c r="A302" s="1" t="s">
        <v>352</v>
      </c>
      <c r="B302" s="1" t="s">
        <v>31</v>
      </c>
      <c r="C302" s="1" t="s">
        <v>32</v>
      </c>
      <c r="D302">
        <v>3</v>
      </c>
      <c r="E302">
        <v>179.61</v>
      </c>
      <c r="F302">
        <v>538.83000000000004</v>
      </c>
      <c r="G302" s="2">
        <v>45621</v>
      </c>
      <c r="H302" s="1" t="s">
        <v>19</v>
      </c>
      <c r="I302" s="1" t="s">
        <v>51</v>
      </c>
      <c r="J302">
        <v>538.83000000000004</v>
      </c>
      <c r="K302" s="1">
        <v>45597</v>
      </c>
    </row>
    <row r="303" spans="1:11">
      <c r="A303" s="1" t="s">
        <v>353</v>
      </c>
      <c r="B303" s="1" t="s">
        <v>31</v>
      </c>
      <c r="C303" s="1" t="s">
        <v>32</v>
      </c>
      <c r="D303">
        <v>13</v>
      </c>
      <c r="E303">
        <v>234.5</v>
      </c>
      <c r="F303">
        <v>3048.5</v>
      </c>
      <c r="G303" s="2">
        <v>45416</v>
      </c>
      <c r="H303" s="1" t="s">
        <v>19</v>
      </c>
      <c r="I303" s="1" t="s">
        <v>29</v>
      </c>
      <c r="J303">
        <v>3048.5</v>
      </c>
      <c r="K303" s="1">
        <v>45413</v>
      </c>
    </row>
    <row r="304" spans="1:11">
      <c r="A304" s="1" t="s">
        <v>354</v>
      </c>
      <c r="B304" s="1" t="s">
        <v>56</v>
      </c>
      <c r="C304" s="1" t="s">
        <v>57</v>
      </c>
      <c r="D304">
        <v>18</v>
      </c>
      <c r="E304">
        <v>42.31</v>
      </c>
      <c r="F304">
        <v>761.58</v>
      </c>
      <c r="G304" s="2">
        <v>45518</v>
      </c>
      <c r="H304" s="1" t="s">
        <v>14</v>
      </c>
      <c r="I304" s="1" t="s">
        <v>38</v>
      </c>
      <c r="J304">
        <v>761.58</v>
      </c>
      <c r="K304" s="1">
        <v>45505</v>
      </c>
    </row>
    <row r="305" spans="1:11">
      <c r="A305" s="1" t="s">
        <v>355</v>
      </c>
      <c r="B305" s="1" t="s">
        <v>54</v>
      </c>
      <c r="C305" s="1" t="s">
        <v>32</v>
      </c>
      <c r="D305">
        <v>11</v>
      </c>
      <c r="E305">
        <v>278.12</v>
      </c>
      <c r="F305">
        <v>3059.32</v>
      </c>
      <c r="G305" s="2">
        <v>45656</v>
      </c>
      <c r="H305" s="1" t="s">
        <v>19</v>
      </c>
      <c r="I305" s="1" t="s">
        <v>87</v>
      </c>
      <c r="J305">
        <v>3059.32</v>
      </c>
      <c r="K305" s="1">
        <v>45627</v>
      </c>
    </row>
    <row r="306" spans="1:11">
      <c r="A306" s="1" t="s">
        <v>356</v>
      </c>
      <c r="B306" s="1" t="s">
        <v>17</v>
      </c>
      <c r="C306" s="1" t="s">
        <v>18</v>
      </c>
      <c r="D306">
        <v>11</v>
      </c>
      <c r="E306">
        <v>5.46</v>
      </c>
      <c r="F306">
        <v>60.06</v>
      </c>
      <c r="G306" s="2">
        <v>45427</v>
      </c>
      <c r="H306" s="1" t="s">
        <v>14</v>
      </c>
      <c r="I306" s="1" t="s">
        <v>41</v>
      </c>
      <c r="J306">
        <v>60.06</v>
      </c>
      <c r="K306" s="1">
        <v>45413</v>
      </c>
    </row>
    <row r="307" spans="1:11">
      <c r="A307" s="1" t="s">
        <v>357</v>
      </c>
      <c r="B307" s="1" t="s">
        <v>54</v>
      </c>
      <c r="C307" s="1" t="s">
        <v>32</v>
      </c>
      <c r="D307">
        <v>11</v>
      </c>
      <c r="E307">
        <v>333.61</v>
      </c>
      <c r="F307">
        <v>3669.71</v>
      </c>
      <c r="G307" s="2">
        <v>45293</v>
      </c>
      <c r="H307" s="1" t="s">
        <v>26</v>
      </c>
      <c r="I307" s="1" t="s">
        <v>98</v>
      </c>
      <c r="J307">
        <v>3669.71</v>
      </c>
      <c r="K307" s="1">
        <v>45292</v>
      </c>
    </row>
    <row r="308" spans="1:11">
      <c r="A308" s="1" t="s">
        <v>358</v>
      </c>
      <c r="B308" s="1" t="s">
        <v>21</v>
      </c>
      <c r="C308" s="1" t="s">
        <v>22</v>
      </c>
      <c r="D308">
        <v>1</v>
      </c>
      <c r="E308">
        <v>5454.58</v>
      </c>
      <c r="F308">
        <v>5454.58</v>
      </c>
      <c r="G308" s="2">
        <v>45523</v>
      </c>
      <c r="H308" s="1" t="s">
        <v>14</v>
      </c>
      <c r="I308" s="1" t="s">
        <v>15</v>
      </c>
      <c r="J308">
        <v>5454.58</v>
      </c>
      <c r="K308" s="1">
        <v>45505</v>
      </c>
    </row>
    <row r="309" spans="1:11">
      <c r="A309" s="1" t="s">
        <v>359</v>
      </c>
      <c r="B309" s="1" t="s">
        <v>40</v>
      </c>
      <c r="C309" s="1" t="s">
        <v>25</v>
      </c>
      <c r="D309">
        <v>6</v>
      </c>
      <c r="E309">
        <v>19.829999999999998</v>
      </c>
      <c r="F309">
        <v>118.98</v>
      </c>
      <c r="G309" s="2">
        <v>45390</v>
      </c>
      <c r="H309" s="1" t="s">
        <v>26</v>
      </c>
      <c r="I309" s="1" t="s">
        <v>33</v>
      </c>
      <c r="J309">
        <v>118.98</v>
      </c>
      <c r="K309" s="1">
        <v>45383</v>
      </c>
    </row>
    <row r="310" spans="1:11">
      <c r="A310" s="1" t="s">
        <v>360</v>
      </c>
      <c r="B310" s="1" t="s">
        <v>54</v>
      </c>
      <c r="C310" s="1" t="s">
        <v>32</v>
      </c>
      <c r="D310">
        <v>18</v>
      </c>
      <c r="E310">
        <v>246.14</v>
      </c>
      <c r="F310">
        <v>4430.5200000000004</v>
      </c>
      <c r="G310" s="2">
        <v>45305</v>
      </c>
      <c r="H310" s="1" t="s">
        <v>19</v>
      </c>
      <c r="I310" s="1" t="s">
        <v>29</v>
      </c>
      <c r="J310">
        <v>4430.5200000000004</v>
      </c>
      <c r="K310" s="1">
        <v>45292</v>
      </c>
    </row>
    <row r="311" spans="1:11">
      <c r="A311" s="1" t="s">
        <v>361</v>
      </c>
      <c r="B311" s="1" t="s">
        <v>56</v>
      </c>
      <c r="C311" s="1" t="s">
        <v>57</v>
      </c>
      <c r="D311">
        <v>4</v>
      </c>
      <c r="E311">
        <v>34.130000000000003</v>
      </c>
      <c r="F311">
        <v>136.52000000000001</v>
      </c>
      <c r="G311" s="2">
        <v>45306</v>
      </c>
      <c r="H311" s="1" t="s">
        <v>19</v>
      </c>
      <c r="I311" s="1" t="s">
        <v>15</v>
      </c>
      <c r="J311">
        <v>136.52000000000001</v>
      </c>
      <c r="K311" s="1">
        <v>45292</v>
      </c>
    </row>
    <row r="312" spans="1:11">
      <c r="A312" s="1" t="s">
        <v>362</v>
      </c>
      <c r="B312" s="1" t="s">
        <v>56</v>
      </c>
      <c r="C312" s="1" t="s">
        <v>57</v>
      </c>
      <c r="D312">
        <v>15</v>
      </c>
      <c r="E312">
        <v>21.14</v>
      </c>
      <c r="F312">
        <v>317.10000000000002</v>
      </c>
      <c r="G312" s="2">
        <v>45594</v>
      </c>
      <c r="H312" s="1" t="s">
        <v>45</v>
      </c>
      <c r="I312" s="1" t="s">
        <v>49</v>
      </c>
      <c r="J312">
        <v>317.10000000000002</v>
      </c>
      <c r="K312" s="1">
        <v>45566</v>
      </c>
    </row>
    <row r="313" spans="1:11">
      <c r="A313" s="1" t="s">
        <v>363</v>
      </c>
      <c r="B313" s="1" t="s">
        <v>31</v>
      </c>
      <c r="C313" s="1" t="s">
        <v>32</v>
      </c>
      <c r="D313">
        <v>19</v>
      </c>
      <c r="E313">
        <v>203.37</v>
      </c>
      <c r="F313">
        <v>3864.03</v>
      </c>
      <c r="G313" s="2">
        <v>45370</v>
      </c>
      <c r="H313" s="1" t="s">
        <v>19</v>
      </c>
      <c r="I313" s="1" t="s">
        <v>96</v>
      </c>
      <c r="J313">
        <v>3864.03</v>
      </c>
      <c r="K313" s="1">
        <v>45352</v>
      </c>
    </row>
    <row r="314" spans="1:11">
      <c r="A314" s="1" t="s">
        <v>364</v>
      </c>
      <c r="B314" s="1" t="s">
        <v>43</v>
      </c>
      <c r="C314" s="1" t="s">
        <v>13</v>
      </c>
      <c r="D314">
        <v>14</v>
      </c>
      <c r="E314">
        <v>199.35</v>
      </c>
      <c r="F314">
        <v>2790.9</v>
      </c>
      <c r="G314" s="2">
        <v>45384</v>
      </c>
      <c r="H314" s="1" t="s">
        <v>45</v>
      </c>
      <c r="I314" s="1" t="s">
        <v>29</v>
      </c>
      <c r="J314">
        <v>2790.9</v>
      </c>
      <c r="K314" s="1">
        <v>45383</v>
      </c>
    </row>
    <row r="315" spans="1:11">
      <c r="A315" s="1" t="s">
        <v>365</v>
      </c>
      <c r="B315" s="1" t="s">
        <v>21</v>
      </c>
      <c r="C315" s="1" t="s">
        <v>22</v>
      </c>
      <c r="D315">
        <v>1</v>
      </c>
      <c r="E315">
        <v>7229.1</v>
      </c>
      <c r="F315">
        <v>7229.1</v>
      </c>
      <c r="G315" s="2">
        <v>45424</v>
      </c>
      <c r="H315" s="1" t="s">
        <v>35</v>
      </c>
      <c r="I315" s="1" t="s">
        <v>71</v>
      </c>
      <c r="J315">
        <v>7229.1</v>
      </c>
      <c r="K315" s="1">
        <v>45413</v>
      </c>
    </row>
    <row r="316" spans="1:11">
      <c r="A316" s="1" t="s">
        <v>366</v>
      </c>
      <c r="B316" s="1" t="s">
        <v>17</v>
      </c>
      <c r="C316" s="1" t="s">
        <v>18</v>
      </c>
      <c r="D316">
        <v>5</v>
      </c>
      <c r="E316">
        <v>9.6199999999999992</v>
      </c>
      <c r="F316">
        <v>48.1</v>
      </c>
      <c r="G316" s="2">
        <v>45325</v>
      </c>
      <c r="H316" s="1" t="s">
        <v>45</v>
      </c>
      <c r="I316" s="1" t="s">
        <v>47</v>
      </c>
      <c r="J316">
        <v>48.1</v>
      </c>
      <c r="K316" s="1">
        <v>45323</v>
      </c>
    </row>
    <row r="317" spans="1:11">
      <c r="A317" s="1" t="s">
        <v>367</v>
      </c>
      <c r="B317" s="1" t="s">
        <v>62</v>
      </c>
      <c r="C317" s="1" t="s">
        <v>32</v>
      </c>
      <c r="D317">
        <v>1</v>
      </c>
      <c r="E317">
        <v>896.36</v>
      </c>
      <c r="F317">
        <v>896.36</v>
      </c>
      <c r="G317" s="2">
        <v>45352</v>
      </c>
      <c r="H317" s="1" t="s">
        <v>45</v>
      </c>
      <c r="I317" s="1" t="s">
        <v>33</v>
      </c>
      <c r="J317">
        <v>896.36</v>
      </c>
      <c r="K317" s="1">
        <v>45352</v>
      </c>
    </row>
    <row r="318" spans="1:11">
      <c r="A318" s="1" t="s">
        <v>368</v>
      </c>
      <c r="B318" s="1" t="s">
        <v>24</v>
      </c>
      <c r="C318" s="1" t="s">
        <v>25</v>
      </c>
      <c r="D318">
        <v>18</v>
      </c>
      <c r="E318">
        <v>1.77</v>
      </c>
      <c r="F318">
        <v>31.86</v>
      </c>
      <c r="G318" s="2">
        <v>45396</v>
      </c>
      <c r="H318" s="1" t="s">
        <v>35</v>
      </c>
      <c r="I318" s="1" t="s">
        <v>27</v>
      </c>
      <c r="J318">
        <v>31.86</v>
      </c>
      <c r="K318" s="1">
        <v>45383</v>
      </c>
    </row>
    <row r="319" spans="1:11">
      <c r="A319" s="1" t="s">
        <v>369</v>
      </c>
      <c r="B319" s="1" t="s">
        <v>12</v>
      </c>
      <c r="C319" s="1" t="s">
        <v>13</v>
      </c>
      <c r="D319">
        <v>19</v>
      </c>
      <c r="E319">
        <v>153.61000000000001</v>
      </c>
      <c r="F319">
        <v>2918.59</v>
      </c>
      <c r="G319" s="2">
        <v>45451</v>
      </c>
      <c r="H319" s="1" t="s">
        <v>26</v>
      </c>
      <c r="I319" s="1" t="s">
        <v>60</v>
      </c>
      <c r="J319">
        <v>2918.59</v>
      </c>
      <c r="K319" s="1">
        <v>45444</v>
      </c>
    </row>
    <row r="320" spans="1:11">
      <c r="A320" s="1" t="s">
        <v>370</v>
      </c>
      <c r="B320" s="1" t="s">
        <v>43</v>
      </c>
      <c r="C320" s="1" t="s">
        <v>13</v>
      </c>
      <c r="D320">
        <v>10</v>
      </c>
      <c r="E320">
        <v>108.63</v>
      </c>
      <c r="F320">
        <v>1086.3</v>
      </c>
      <c r="G320" s="2">
        <v>45373</v>
      </c>
      <c r="H320" s="1" t="s">
        <v>35</v>
      </c>
      <c r="I320" s="1" t="s">
        <v>47</v>
      </c>
      <c r="J320">
        <v>1086.3</v>
      </c>
      <c r="K320" s="1">
        <v>45352</v>
      </c>
    </row>
    <row r="321" spans="1:11">
      <c r="A321" s="1" t="s">
        <v>371</v>
      </c>
      <c r="B321" s="1" t="s">
        <v>40</v>
      </c>
      <c r="C321" s="1" t="s">
        <v>25</v>
      </c>
      <c r="D321">
        <v>2</v>
      </c>
      <c r="E321">
        <v>19.46</v>
      </c>
      <c r="F321">
        <v>38.92</v>
      </c>
      <c r="G321" s="2">
        <v>45520</v>
      </c>
      <c r="H321" s="1" t="s">
        <v>19</v>
      </c>
      <c r="I321" s="1" t="s">
        <v>85</v>
      </c>
      <c r="J321">
        <v>38.92</v>
      </c>
      <c r="K321" s="1">
        <v>45505</v>
      </c>
    </row>
    <row r="322" spans="1:11">
      <c r="A322" s="1" t="s">
        <v>372</v>
      </c>
      <c r="B322" s="1" t="s">
        <v>62</v>
      </c>
      <c r="C322" s="1" t="s">
        <v>32</v>
      </c>
      <c r="D322">
        <v>18</v>
      </c>
      <c r="E322">
        <v>876.19</v>
      </c>
      <c r="F322">
        <v>15771.42</v>
      </c>
      <c r="G322" s="2">
        <v>45483</v>
      </c>
      <c r="H322" s="1" t="s">
        <v>14</v>
      </c>
      <c r="I322" s="1" t="s">
        <v>85</v>
      </c>
      <c r="J322">
        <v>15771.42</v>
      </c>
      <c r="K322" s="1">
        <v>45474</v>
      </c>
    </row>
    <row r="323" spans="1:11">
      <c r="A323" s="1" t="s">
        <v>373</v>
      </c>
      <c r="B323" s="1" t="s">
        <v>31</v>
      </c>
      <c r="C323" s="1" t="s">
        <v>32</v>
      </c>
      <c r="D323">
        <v>11</v>
      </c>
      <c r="E323">
        <v>162.18</v>
      </c>
      <c r="F323">
        <v>1783.98</v>
      </c>
      <c r="G323" s="2">
        <v>45575</v>
      </c>
      <c r="H323" s="1" t="s">
        <v>35</v>
      </c>
      <c r="I323" s="1" t="s">
        <v>98</v>
      </c>
      <c r="J323">
        <v>1783.98</v>
      </c>
      <c r="K323" s="1">
        <v>45566</v>
      </c>
    </row>
    <row r="324" spans="1:11">
      <c r="A324" s="1" t="s">
        <v>374</v>
      </c>
      <c r="B324" s="1" t="s">
        <v>24</v>
      </c>
      <c r="C324" s="1" t="s">
        <v>25</v>
      </c>
      <c r="D324">
        <v>1</v>
      </c>
      <c r="E324">
        <v>1.56</v>
      </c>
      <c r="F324">
        <v>1.56</v>
      </c>
      <c r="G324" s="2">
        <v>45533</v>
      </c>
      <c r="H324" s="1" t="s">
        <v>14</v>
      </c>
      <c r="I324" s="1" t="s">
        <v>60</v>
      </c>
      <c r="J324">
        <v>1.56</v>
      </c>
      <c r="K324" s="1">
        <v>45505</v>
      </c>
    </row>
    <row r="325" spans="1:11">
      <c r="A325" s="1" t="s">
        <v>375</v>
      </c>
      <c r="B325" s="1" t="s">
        <v>24</v>
      </c>
      <c r="C325" s="1" t="s">
        <v>25</v>
      </c>
      <c r="D325">
        <v>3</v>
      </c>
      <c r="E325">
        <v>1.06</v>
      </c>
      <c r="F325">
        <v>3.18</v>
      </c>
      <c r="G325" s="2">
        <v>45487</v>
      </c>
      <c r="H325" s="1" t="s">
        <v>35</v>
      </c>
      <c r="I325" s="1" t="s">
        <v>51</v>
      </c>
      <c r="J325">
        <v>3.18</v>
      </c>
      <c r="K325" s="1">
        <v>45474</v>
      </c>
    </row>
    <row r="326" spans="1:11">
      <c r="A326" s="1" t="s">
        <v>376</v>
      </c>
      <c r="B326" s="1" t="s">
        <v>21</v>
      </c>
      <c r="C326" s="1" t="s">
        <v>22</v>
      </c>
      <c r="D326">
        <v>1</v>
      </c>
      <c r="E326">
        <v>8937.02</v>
      </c>
      <c r="F326">
        <v>8937.02</v>
      </c>
      <c r="G326" s="2">
        <v>45335</v>
      </c>
      <c r="H326" s="1" t="s">
        <v>45</v>
      </c>
      <c r="I326" s="1" t="s">
        <v>85</v>
      </c>
      <c r="J326">
        <v>8937.02</v>
      </c>
      <c r="K326" s="1">
        <v>45323</v>
      </c>
    </row>
    <row r="327" spans="1:11">
      <c r="A327" s="1" t="s">
        <v>377</v>
      </c>
      <c r="B327" s="1" t="s">
        <v>24</v>
      </c>
      <c r="C327" s="1" t="s">
        <v>25</v>
      </c>
      <c r="D327">
        <v>17</v>
      </c>
      <c r="E327">
        <v>1.97</v>
      </c>
      <c r="F327">
        <v>33.49</v>
      </c>
      <c r="G327" s="2">
        <v>45370</v>
      </c>
      <c r="H327" s="1" t="s">
        <v>45</v>
      </c>
      <c r="I327" s="1" t="s">
        <v>60</v>
      </c>
      <c r="J327">
        <v>33.49</v>
      </c>
      <c r="K327" s="1">
        <v>45352</v>
      </c>
    </row>
    <row r="328" spans="1:11">
      <c r="A328" s="1" t="s">
        <v>378</v>
      </c>
      <c r="B328" s="1" t="s">
        <v>12</v>
      </c>
      <c r="C328" s="1" t="s">
        <v>13</v>
      </c>
      <c r="D328">
        <v>17</v>
      </c>
      <c r="E328">
        <v>149.52000000000001</v>
      </c>
      <c r="F328">
        <v>2541.84</v>
      </c>
      <c r="G328" s="2">
        <v>45651</v>
      </c>
      <c r="H328" s="1" t="s">
        <v>14</v>
      </c>
      <c r="I328" s="1" t="s">
        <v>47</v>
      </c>
      <c r="J328">
        <v>2541.84</v>
      </c>
      <c r="K328" s="1">
        <v>45627</v>
      </c>
    </row>
    <row r="329" spans="1:11">
      <c r="A329" s="1" t="s">
        <v>379</v>
      </c>
      <c r="B329" s="1" t="s">
        <v>31</v>
      </c>
      <c r="C329" s="1" t="s">
        <v>32</v>
      </c>
      <c r="D329">
        <v>11</v>
      </c>
      <c r="E329">
        <v>150.83000000000001</v>
      </c>
      <c r="F329">
        <v>1659.13</v>
      </c>
      <c r="G329" s="2">
        <v>45475</v>
      </c>
      <c r="H329" s="1" t="s">
        <v>26</v>
      </c>
      <c r="I329" s="1" t="s">
        <v>135</v>
      </c>
      <c r="J329">
        <v>1659.13</v>
      </c>
      <c r="K329" s="1">
        <v>45474</v>
      </c>
    </row>
    <row r="330" spans="1:11">
      <c r="A330" s="1" t="s">
        <v>380</v>
      </c>
      <c r="B330" s="1" t="s">
        <v>56</v>
      </c>
      <c r="C330" s="1" t="s">
        <v>57</v>
      </c>
      <c r="D330">
        <v>19</v>
      </c>
      <c r="E330">
        <v>25.41</v>
      </c>
      <c r="F330">
        <v>482.79</v>
      </c>
      <c r="G330" s="2">
        <v>45362</v>
      </c>
      <c r="H330" s="1" t="s">
        <v>26</v>
      </c>
      <c r="I330" s="1" t="s">
        <v>47</v>
      </c>
      <c r="J330">
        <v>482.79</v>
      </c>
      <c r="K330" s="1">
        <v>45352</v>
      </c>
    </row>
    <row r="331" spans="1:11">
      <c r="A331" s="1" t="s">
        <v>381</v>
      </c>
      <c r="B331" s="1" t="s">
        <v>21</v>
      </c>
      <c r="C331" s="1" t="s">
        <v>22</v>
      </c>
      <c r="D331">
        <v>1</v>
      </c>
      <c r="E331">
        <v>7000.06</v>
      </c>
      <c r="F331">
        <v>7000.06</v>
      </c>
      <c r="G331" s="2">
        <v>45296</v>
      </c>
      <c r="H331" s="1" t="s">
        <v>19</v>
      </c>
      <c r="I331" s="1" t="s">
        <v>29</v>
      </c>
      <c r="J331">
        <v>7000.06</v>
      </c>
      <c r="K331" s="1">
        <v>45292</v>
      </c>
    </row>
    <row r="332" spans="1:11">
      <c r="A332" s="1" t="s">
        <v>382</v>
      </c>
      <c r="B332" s="1" t="s">
        <v>40</v>
      </c>
      <c r="C332" s="1" t="s">
        <v>25</v>
      </c>
      <c r="D332">
        <v>9</v>
      </c>
      <c r="E332">
        <v>19.27</v>
      </c>
      <c r="F332">
        <v>173.43</v>
      </c>
      <c r="G332" s="2">
        <v>45530</v>
      </c>
      <c r="H332" s="1" t="s">
        <v>35</v>
      </c>
      <c r="I332" s="1" t="s">
        <v>41</v>
      </c>
      <c r="J332">
        <v>173.43</v>
      </c>
      <c r="K332" s="1">
        <v>45505</v>
      </c>
    </row>
    <row r="333" spans="1:11">
      <c r="A333" s="1" t="s">
        <v>383</v>
      </c>
      <c r="B333" s="1" t="s">
        <v>56</v>
      </c>
      <c r="C333" s="1" t="s">
        <v>57</v>
      </c>
      <c r="D333">
        <v>2</v>
      </c>
      <c r="E333">
        <v>41.62</v>
      </c>
      <c r="F333">
        <v>83.24</v>
      </c>
      <c r="G333" s="2">
        <v>45627</v>
      </c>
      <c r="H333" s="1" t="s">
        <v>45</v>
      </c>
      <c r="I333" s="1" t="s">
        <v>58</v>
      </c>
      <c r="J333">
        <v>83.24</v>
      </c>
      <c r="K333" s="1">
        <v>45627</v>
      </c>
    </row>
    <row r="334" spans="1:11">
      <c r="A334" s="1" t="s">
        <v>384</v>
      </c>
      <c r="B334" s="1" t="s">
        <v>62</v>
      </c>
      <c r="C334" s="1" t="s">
        <v>32</v>
      </c>
      <c r="D334">
        <v>3</v>
      </c>
      <c r="E334">
        <v>966.1</v>
      </c>
      <c r="F334">
        <v>2898.3</v>
      </c>
      <c r="G334" s="2">
        <v>45550</v>
      </c>
      <c r="H334" s="1" t="s">
        <v>19</v>
      </c>
      <c r="I334" s="1" t="s">
        <v>85</v>
      </c>
      <c r="J334">
        <v>2898.3</v>
      </c>
      <c r="K334" s="1">
        <v>45536</v>
      </c>
    </row>
    <row r="335" spans="1:11">
      <c r="A335" s="1" t="s">
        <v>385</v>
      </c>
      <c r="B335" s="1" t="s">
        <v>12</v>
      </c>
      <c r="C335" s="1" t="s">
        <v>13</v>
      </c>
      <c r="D335">
        <v>16</v>
      </c>
      <c r="E335">
        <v>127.25</v>
      </c>
      <c r="F335">
        <v>2036</v>
      </c>
      <c r="G335" s="2">
        <v>45550</v>
      </c>
      <c r="H335" s="1" t="s">
        <v>19</v>
      </c>
      <c r="I335" s="1" t="s">
        <v>81</v>
      </c>
      <c r="J335">
        <v>2036</v>
      </c>
      <c r="K335" s="1">
        <v>45536</v>
      </c>
    </row>
    <row r="336" spans="1:11">
      <c r="A336" s="1" t="s">
        <v>386</v>
      </c>
      <c r="B336" s="1" t="s">
        <v>62</v>
      </c>
      <c r="C336" s="1" t="s">
        <v>32</v>
      </c>
      <c r="D336">
        <v>16</v>
      </c>
      <c r="E336">
        <v>960.28</v>
      </c>
      <c r="F336">
        <v>15364.48</v>
      </c>
      <c r="G336" s="2">
        <v>45543</v>
      </c>
      <c r="H336" s="1" t="s">
        <v>35</v>
      </c>
      <c r="I336" s="1" t="s">
        <v>66</v>
      </c>
      <c r="J336">
        <v>15364.48</v>
      </c>
      <c r="K336" s="1">
        <v>45536</v>
      </c>
    </row>
    <row r="337" spans="1:11">
      <c r="A337" s="1" t="s">
        <v>387</v>
      </c>
      <c r="B337" s="1" t="s">
        <v>31</v>
      </c>
      <c r="C337" s="1" t="s">
        <v>32</v>
      </c>
      <c r="D337">
        <v>1</v>
      </c>
      <c r="E337">
        <v>265.47000000000003</v>
      </c>
      <c r="F337">
        <v>265.47000000000003</v>
      </c>
      <c r="G337" s="2">
        <v>45643</v>
      </c>
      <c r="H337" s="1" t="s">
        <v>19</v>
      </c>
      <c r="I337" s="1" t="s">
        <v>36</v>
      </c>
      <c r="J337">
        <v>265.47000000000003</v>
      </c>
      <c r="K337" s="1">
        <v>45627</v>
      </c>
    </row>
    <row r="338" spans="1:11">
      <c r="A338" s="1" t="s">
        <v>388</v>
      </c>
      <c r="B338" s="1" t="s">
        <v>17</v>
      </c>
      <c r="C338" s="1" t="s">
        <v>18</v>
      </c>
      <c r="D338">
        <v>5</v>
      </c>
      <c r="E338">
        <v>9.52</v>
      </c>
      <c r="F338">
        <v>47.6</v>
      </c>
      <c r="G338" s="2">
        <v>45330</v>
      </c>
      <c r="H338" s="1" t="s">
        <v>19</v>
      </c>
      <c r="I338" s="1" t="s">
        <v>85</v>
      </c>
      <c r="J338">
        <v>47.6</v>
      </c>
      <c r="K338" s="1">
        <v>45323</v>
      </c>
    </row>
    <row r="339" spans="1:11">
      <c r="A339" s="1" t="s">
        <v>389</v>
      </c>
      <c r="B339" s="1" t="s">
        <v>54</v>
      </c>
      <c r="C339" s="1" t="s">
        <v>32</v>
      </c>
      <c r="D339">
        <v>2</v>
      </c>
      <c r="E339">
        <v>301.04000000000002</v>
      </c>
      <c r="F339">
        <v>602.08000000000004</v>
      </c>
      <c r="G339" s="2">
        <v>45307</v>
      </c>
      <c r="H339" s="1" t="s">
        <v>26</v>
      </c>
      <c r="I339" s="1" t="s">
        <v>27</v>
      </c>
      <c r="J339">
        <v>602.08000000000004</v>
      </c>
      <c r="K339" s="1">
        <v>45292</v>
      </c>
    </row>
    <row r="340" spans="1:11">
      <c r="A340" s="1" t="s">
        <v>390</v>
      </c>
      <c r="B340" s="1" t="s">
        <v>21</v>
      </c>
      <c r="C340" s="1" t="s">
        <v>22</v>
      </c>
      <c r="D340">
        <v>1</v>
      </c>
      <c r="E340">
        <v>9622.4</v>
      </c>
      <c r="F340">
        <v>9622.4</v>
      </c>
      <c r="G340" s="2">
        <v>45458</v>
      </c>
      <c r="H340" s="1" t="s">
        <v>45</v>
      </c>
      <c r="I340" s="1" t="s">
        <v>29</v>
      </c>
      <c r="J340">
        <v>9622.4</v>
      </c>
      <c r="K340" s="1">
        <v>45444</v>
      </c>
    </row>
    <row r="341" spans="1:11">
      <c r="A341" s="1" t="s">
        <v>391</v>
      </c>
      <c r="B341" s="1" t="s">
        <v>40</v>
      </c>
      <c r="C341" s="1" t="s">
        <v>25</v>
      </c>
      <c r="D341">
        <v>16</v>
      </c>
      <c r="E341">
        <v>11.46</v>
      </c>
      <c r="F341">
        <v>183.36</v>
      </c>
      <c r="G341" s="2">
        <v>45529</v>
      </c>
      <c r="H341" s="1" t="s">
        <v>26</v>
      </c>
      <c r="I341" s="1" t="s">
        <v>49</v>
      </c>
      <c r="J341">
        <v>183.36</v>
      </c>
      <c r="K341" s="1">
        <v>45505</v>
      </c>
    </row>
    <row r="342" spans="1:11">
      <c r="A342" s="1" t="s">
        <v>392</v>
      </c>
      <c r="B342" s="1" t="s">
        <v>21</v>
      </c>
      <c r="C342" s="1" t="s">
        <v>22</v>
      </c>
      <c r="D342">
        <v>1</v>
      </c>
      <c r="E342">
        <v>6395.36</v>
      </c>
      <c r="F342">
        <v>6395.36</v>
      </c>
      <c r="G342" s="2">
        <v>45577</v>
      </c>
      <c r="H342" s="1" t="s">
        <v>35</v>
      </c>
      <c r="I342" s="1" t="s">
        <v>27</v>
      </c>
      <c r="J342">
        <v>6395.36</v>
      </c>
      <c r="K342" s="1">
        <v>45566</v>
      </c>
    </row>
    <row r="343" spans="1:11">
      <c r="A343" s="1" t="s">
        <v>393</v>
      </c>
      <c r="B343" s="1" t="s">
        <v>43</v>
      </c>
      <c r="C343" s="1" t="s">
        <v>13</v>
      </c>
      <c r="D343">
        <v>17</v>
      </c>
      <c r="E343">
        <v>173.45</v>
      </c>
      <c r="F343">
        <v>2948.65</v>
      </c>
      <c r="G343" s="2">
        <v>45472</v>
      </c>
      <c r="H343" s="1" t="s">
        <v>45</v>
      </c>
      <c r="I343" s="1" t="s">
        <v>15</v>
      </c>
      <c r="J343">
        <v>2948.65</v>
      </c>
      <c r="K343" s="1">
        <v>45444</v>
      </c>
    </row>
    <row r="344" spans="1:11">
      <c r="A344" s="1" t="s">
        <v>394</v>
      </c>
      <c r="B344" s="1" t="s">
        <v>17</v>
      </c>
      <c r="C344" s="1" t="s">
        <v>18</v>
      </c>
      <c r="D344">
        <v>3</v>
      </c>
      <c r="E344">
        <v>10.16</v>
      </c>
      <c r="F344">
        <v>30.48</v>
      </c>
      <c r="G344" s="2">
        <v>45301</v>
      </c>
      <c r="H344" s="1" t="s">
        <v>45</v>
      </c>
      <c r="I344" s="1" t="s">
        <v>41</v>
      </c>
      <c r="J344">
        <v>30.48</v>
      </c>
      <c r="K344" s="1">
        <v>45292</v>
      </c>
    </row>
    <row r="345" spans="1:11">
      <c r="A345" s="1" t="s">
        <v>395</v>
      </c>
      <c r="B345" s="1" t="s">
        <v>56</v>
      </c>
      <c r="C345" s="1" t="s">
        <v>57</v>
      </c>
      <c r="D345">
        <v>4</v>
      </c>
      <c r="E345">
        <v>45.1</v>
      </c>
      <c r="F345">
        <v>180.4</v>
      </c>
      <c r="G345" s="2">
        <v>45293</v>
      </c>
      <c r="H345" s="1" t="s">
        <v>14</v>
      </c>
      <c r="I345" s="1" t="s">
        <v>15</v>
      </c>
      <c r="J345">
        <v>180.4</v>
      </c>
      <c r="K345" s="1">
        <v>45292</v>
      </c>
    </row>
    <row r="346" spans="1:11">
      <c r="A346" s="1" t="s">
        <v>396</v>
      </c>
      <c r="B346" s="1" t="s">
        <v>56</v>
      </c>
      <c r="C346" s="1" t="s">
        <v>57</v>
      </c>
      <c r="D346">
        <v>3</v>
      </c>
      <c r="E346">
        <v>39.04</v>
      </c>
      <c r="F346">
        <v>117.12</v>
      </c>
      <c r="G346" s="2">
        <v>45356</v>
      </c>
      <c r="H346" s="1" t="s">
        <v>26</v>
      </c>
      <c r="I346" s="1" t="s">
        <v>66</v>
      </c>
      <c r="J346">
        <v>117.12</v>
      </c>
      <c r="K346" s="1">
        <v>45352</v>
      </c>
    </row>
    <row r="347" spans="1:11">
      <c r="A347" s="1" t="s">
        <v>397</v>
      </c>
      <c r="B347" s="1" t="s">
        <v>43</v>
      </c>
      <c r="C347" s="1" t="s">
        <v>13</v>
      </c>
      <c r="D347">
        <v>13</v>
      </c>
      <c r="E347">
        <v>163.63999999999999</v>
      </c>
      <c r="F347">
        <v>2127.3200000000002</v>
      </c>
      <c r="G347" s="2">
        <v>45362</v>
      </c>
      <c r="H347" s="1" t="s">
        <v>14</v>
      </c>
      <c r="I347" s="1" t="s">
        <v>47</v>
      </c>
      <c r="J347">
        <v>2127.3200000000002</v>
      </c>
      <c r="K347" s="1">
        <v>45352</v>
      </c>
    </row>
    <row r="348" spans="1:11">
      <c r="A348" s="1" t="s">
        <v>398</v>
      </c>
      <c r="B348" s="1" t="s">
        <v>43</v>
      </c>
      <c r="C348" s="1" t="s">
        <v>13</v>
      </c>
      <c r="D348">
        <v>2</v>
      </c>
      <c r="E348">
        <v>171.07</v>
      </c>
      <c r="F348">
        <v>342.14</v>
      </c>
      <c r="G348" s="2">
        <v>45592</v>
      </c>
      <c r="H348" s="1" t="s">
        <v>35</v>
      </c>
      <c r="I348" s="1" t="s">
        <v>27</v>
      </c>
      <c r="J348">
        <v>342.14</v>
      </c>
      <c r="K348" s="1">
        <v>45566</v>
      </c>
    </row>
    <row r="349" spans="1:11">
      <c r="A349" s="1" t="s">
        <v>399</v>
      </c>
      <c r="B349" s="1" t="s">
        <v>31</v>
      </c>
      <c r="C349" s="1" t="s">
        <v>32</v>
      </c>
      <c r="D349">
        <v>1</v>
      </c>
      <c r="E349">
        <v>253.66</v>
      </c>
      <c r="F349">
        <v>253.66</v>
      </c>
      <c r="G349" s="2">
        <v>45429</v>
      </c>
      <c r="H349" s="1" t="s">
        <v>35</v>
      </c>
      <c r="I349" s="1" t="s">
        <v>49</v>
      </c>
      <c r="J349">
        <v>253.66</v>
      </c>
      <c r="K349" s="1">
        <v>45413</v>
      </c>
    </row>
    <row r="350" spans="1:11">
      <c r="A350" s="1" t="s">
        <v>400</v>
      </c>
      <c r="B350" s="1" t="s">
        <v>62</v>
      </c>
      <c r="C350" s="1" t="s">
        <v>32</v>
      </c>
      <c r="D350">
        <v>15</v>
      </c>
      <c r="E350">
        <v>906.98</v>
      </c>
      <c r="F350">
        <v>13604.7</v>
      </c>
      <c r="G350" s="2">
        <v>45349</v>
      </c>
      <c r="H350" s="1" t="s">
        <v>19</v>
      </c>
      <c r="I350" s="1" t="s">
        <v>60</v>
      </c>
      <c r="J350">
        <v>13604.7</v>
      </c>
      <c r="K350" s="1">
        <v>45323</v>
      </c>
    </row>
    <row r="351" spans="1:11">
      <c r="A351" s="1" t="s">
        <v>401</v>
      </c>
      <c r="B351" s="1" t="s">
        <v>17</v>
      </c>
      <c r="C351" s="1" t="s">
        <v>18</v>
      </c>
      <c r="D351">
        <v>1</v>
      </c>
      <c r="E351">
        <v>10.31</v>
      </c>
      <c r="F351">
        <v>10.31</v>
      </c>
      <c r="G351" s="2">
        <v>45418</v>
      </c>
      <c r="H351" s="1" t="s">
        <v>45</v>
      </c>
      <c r="I351" s="1" t="s">
        <v>29</v>
      </c>
      <c r="J351">
        <v>10.31</v>
      </c>
      <c r="K351" s="1">
        <v>45413</v>
      </c>
    </row>
    <row r="352" spans="1:11">
      <c r="A352" s="1" t="s">
        <v>402</v>
      </c>
      <c r="B352" s="1" t="s">
        <v>43</v>
      </c>
      <c r="C352" s="1" t="s">
        <v>13</v>
      </c>
      <c r="D352">
        <v>14</v>
      </c>
      <c r="E352">
        <v>167.09</v>
      </c>
      <c r="F352">
        <v>2339.2600000000002</v>
      </c>
      <c r="G352" s="2">
        <v>45336</v>
      </c>
      <c r="H352" s="1" t="s">
        <v>45</v>
      </c>
      <c r="I352" s="1" t="s">
        <v>15</v>
      </c>
      <c r="J352">
        <v>2339.2600000000002</v>
      </c>
      <c r="K352" s="1">
        <v>45323</v>
      </c>
    </row>
    <row r="353" spans="1:11">
      <c r="A353" s="1" t="s">
        <v>403</v>
      </c>
      <c r="B353" s="1" t="s">
        <v>43</v>
      </c>
      <c r="C353" s="1" t="s">
        <v>13</v>
      </c>
      <c r="D353">
        <v>8</v>
      </c>
      <c r="E353">
        <v>140.93</v>
      </c>
      <c r="F353">
        <v>1127.44</v>
      </c>
      <c r="G353" s="2">
        <v>45385</v>
      </c>
      <c r="H353" s="1" t="s">
        <v>26</v>
      </c>
      <c r="I353" s="1" t="s">
        <v>47</v>
      </c>
      <c r="J353">
        <v>1127.44</v>
      </c>
      <c r="K353" s="1">
        <v>45383</v>
      </c>
    </row>
    <row r="354" spans="1:11">
      <c r="A354" s="1" t="s">
        <v>404</v>
      </c>
      <c r="B354" s="1" t="s">
        <v>40</v>
      </c>
      <c r="C354" s="1" t="s">
        <v>25</v>
      </c>
      <c r="D354">
        <v>19</v>
      </c>
      <c r="E354">
        <v>18.350000000000001</v>
      </c>
      <c r="F354">
        <v>348.65</v>
      </c>
      <c r="G354" s="2">
        <v>45582</v>
      </c>
      <c r="H354" s="1" t="s">
        <v>35</v>
      </c>
      <c r="I354" s="1" t="s">
        <v>47</v>
      </c>
      <c r="J354">
        <v>348.65</v>
      </c>
      <c r="K354" s="1">
        <v>45566</v>
      </c>
    </row>
    <row r="355" spans="1:11">
      <c r="A355" s="1" t="s">
        <v>405</v>
      </c>
      <c r="B355" s="1" t="s">
        <v>31</v>
      </c>
      <c r="C355" s="1" t="s">
        <v>32</v>
      </c>
      <c r="D355">
        <v>14</v>
      </c>
      <c r="E355">
        <v>209.08</v>
      </c>
      <c r="F355">
        <v>2927.12</v>
      </c>
      <c r="G355" s="2">
        <v>45481</v>
      </c>
      <c r="H355" s="1" t="s">
        <v>45</v>
      </c>
      <c r="I355" s="1" t="s">
        <v>47</v>
      </c>
      <c r="J355">
        <v>2927.12</v>
      </c>
      <c r="K355" s="1">
        <v>45474</v>
      </c>
    </row>
    <row r="356" spans="1:11">
      <c r="A356" s="1" t="s">
        <v>406</v>
      </c>
      <c r="B356" s="1" t="s">
        <v>12</v>
      </c>
      <c r="C356" s="1" t="s">
        <v>13</v>
      </c>
      <c r="D356">
        <v>11</v>
      </c>
      <c r="E356">
        <v>173.5</v>
      </c>
      <c r="F356">
        <v>1908.5</v>
      </c>
      <c r="G356" s="2">
        <v>45525</v>
      </c>
      <c r="H356" s="1" t="s">
        <v>26</v>
      </c>
      <c r="I356" s="1" t="s">
        <v>96</v>
      </c>
      <c r="J356">
        <v>1908.5</v>
      </c>
      <c r="K356" s="1">
        <v>45505</v>
      </c>
    </row>
    <row r="357" spans="1:11">
      <c r="A357" s="1" t="s">
        <v>407</v>
      </c>
      <c r="B357" s="1" t="s">
        <v>40</v>
      </c>
      <c r="C357" s="1" t="s">
        <v>25</v>
      </c>
      <c r="D357">
        <v>8</v>
      </c>
      <c r="E357">
        <v>15.49</v>
      </c>
      <c r="F357">
        <v>123.92</v>
      </c>
      <c r="G357" s="2">
        <v>45418</v>
      </c>
      <c r="H357" s="1" t="s">
        <v>45</v>
      </c>
      <c r="I357" s="1" t="s">
        <v>60</v>
      </c>
      <c r="J357">
        <v>123.92</v>
      </c>
      <c r="K357" s="1">
        <v>45413</v>
      </c>
    </row>
    <row r="358" spans="1:11">
      <c r="A358" s="1" t="s">
        <v>408</v>
      </c>
      <c r="B358" s="1" t="s">
        <v>12</v>
      </c>
      <c r="C358" s="1" t="s">
        <v>13</v>
      </c>
      <c r="D358">
        <v>18</v>
      </c>
      <c r="E358">
        <v>125.64</v>
      </c>
      <c r="F358">
        <v>2261.52</v>
      </c>
      <c r="G358" s="2">
        <v>45539</v>
      </c>
      <c r="H358" s="1" t="s">
        <v>19</v>
      </c>
      <c r="I358" s="1" t="s">
        <v>58</v>
      </c>
      <c r="J358">
        <v>2261.52</v>
      </c>
      <c r="K358" s="1">
        <v>45536</v>
      </c>
    </row>
    <row r="359" spans="1:11">
      <c r="A359" s="1" t="s">
        <v>409</v>
      </c>
      <c r="B359" s="1" t="s">
        <v>31</v>
      </c>
      <c r="C359" s="1" t="s">
        <v>32</v>
      </c>
      <c r="D359">
        <v>5</v>
      </c>
      <c r="E359">
        <v>227.58</v>
      </c>
      <c r="F359">
        <v>1137.9000000000001</v>
      </c>
      <c r="G359" s="2">
        <v>45549</v>
      </c>
      <c r="H359" s="1" t="s">
        <v>35</v>
      </c>
      <c r="I359" s="1" t="s">
        <v>96</v>
      </c>
      <c r="J359">
        <v>1137.9000000000001</v>
      </c>
      <c r="K359" s="1">
        <v>45536</v>
      </c>
    </row>
    <row r="360" spans="1:11">
      <c r="A360" s="1" t="s">
        <v>410</v>
      </c>
      <c r="B360" s="1" t="s">
        <v>12</v>
      </c>
      <c r="C360" s="1" t="s">
        <v>13</v>
      </c>
      <c r="D360">
        <v>1</v>
      </c>
      <c r="E360">
        <v>138.94999999999999</v>
      </c>
      <c r="F360">
        <v>138.94999999999999</v>
      </c>
      <c r="G360" s="2">
        <v>45534</v>
      </c>
      <c r="H360" s="1" t="s">
        <v>45</v>
      </c>
      <c r="I360" s="1" t="s">
        <v>29</v>
      </c>
      <c r="J360">
        <v>138.94999999999999</v>
      </c>
      <c r="K360" s="1">
        <v>45505</v>
      </c>
    </row>
    <row r="361" spans="1:11">
      <c r="A361" s="1" t="s">
        <v>411</v>
      </c>
      <c r="B361" s="1" t="s">
        <v>12</v>
      </c>
      <c r="C361" s="1" t="s">
        <v>13</v>
      </c>
      <c r="D361">
        <v>19</v>
      </c>
      <c r="E361">
        <v>157.09</v>
      </c>
      <c r="F361">
        <v>2984.71</v>
      </c>
      <c r="G361" s="2">
        <v>45628</v>
      </c>
      <c r="H361" s="1" t="s">
        <v>35</v>
      </c>
      <c r="I361" s="1" t="s">
        <v>38</v>
      </c>
      <c r="J361">
        <v>2984.71</v>
      </c>
      <c r="K361" s="1">
        <v>45627</v>
      </c>
    </row>
    <row r="362" spans="1:11">
      <c r="A362" s="1" t="s">
        <v>412</v>
      </c>
      <c r="B362" s="1" t="s">
        <v>62</v>
      </c>
      <c r="C362" s="1" t="s">
        <v>32</v>
      </c>
      <c r="D362">
        <v>14</v>
      </c>
      <c r="E362">
        <v>895.47</v>
      </c>
      <c r="F362">
        <v>12536.58</v>
      </c>
      <c r="G362" s="2">
        <v>45400</v>
      </c>
      <c r="H362" s="1" t="s">
        <v>14</v>
      </c>
      <c r="I362" s="1" t="s">
        <v>49</v>
      </c>
      <c r="J362">
        <v>12536.58</v>
      </c>
      <c r="K362" s="1">
        <v>45383</v>
      </c>
    </row>
    <row r="363" spans="1:11">
      <c r="A363" s="1" t="s">
        <v>413</v>
      </c>
      <c r="B363" s="1" t="s">
        <v>56</v>
      </c>
      <c r="C363" s="1" t="s">
        <v>57</v>
      </c>
      <c r="D363">
        <v>20</v>
      </c>
      <c r="E363">
        <v>45.45</v>
      </c>
      <c r="F363">
        <v>909</v>
      </c>
      <c r="G363" s="2">
        <v>45466</v>
      </c>
      <c r="H363" s="1" t="s">
        <v>14</v>
      </c>
      <c r="I363" s="1" t="s">
        <v>38</v>
      </c>
      <c r="J363">
        <v>909</v>
      </c>
      <c r="K363" s="1">
        <v>45444</v>
      </c>
    </row>
    <row r="364" spans="1:11">
      <c r="A364" s="1" t="s">
        <v>414</v>
      </c>
      <c r="B364" s="1" t="s">
        <v>56</v>
      </c>
      <c r="C364" s="1" t="s">
        <v>57</v>
      </c>
      <c r="D364">
        <v>15</v>
      </c>
      <c r="E364">
        <v>33.19</v>
      </c>
      <c r="F364">
        <v>497.85</v>
      </c>
      <c r="G364" s="2">
        <v>45326</v>
      </c>
      <c r="H364" s="1" t="s">
        <v>14</v>
      </c>
      <c r="I364" s="1" t="s">
        <v>38</v>
      </c>
      <c r="J364">
        <v>497.85</v>
      </c>
      <c r="K364" s="1">
        <v>45323</v>
      </c>
    </row>
    <row r="365" spans="1:11">
      <c r="A365" s="1" t="s">
        <v>415</v>
      </c>
      <c r="B365" s="1" t="s">
        <v>56</v>
      </c>
      <c r="C365" s="1" t="s">
        <v>57</v>
      </c>
      <c r="D365">
        <v>14</v>
      </c>
      <c r="E365">
        <v>25.83</v>
      </c>
      <c r="F365">
        <v>361.62</v>
      </c>
      <c r="G365" s="2">
        <v>45592</v>
      </c>
      <c r="H365" s="1" t="s">
        <v>26</v>
      </c>
      <c r="I365" s="1" t="s">
        <v>51</v>
      </c>
      <c r="J365">
        <v>361.62</v>
      </c>
      <c r="K365" s="1">
        <v>45566</v>
      </c>
    </row>
    <row r="366" spans="1:11">
      <c r="A366" s="1" t="s">
        <v>416</v>
      </c>
      <c r="B366" s="1" t="s">
        <v>62</v>
      </c>
      <c r="C366" s="1" t="s">
        <v>32</v>
      </c>
      <c r="D366">
        <v>16</v>
      </c>
      <c r="E366">
        <v>811</v>
      </c>
      <c r="F366">
        <v>12976</v>
      </c>
      <c r="G366" s="2">
        <v>45369</v>
      </c>
      <c r="H366" s="1" t="s">
        <v>26</v>
      </c>
      <c r="I366" s="1" t="s">
        <v>38</v>
      </c>
      <c r="J366">
        <v>12976</v>
      </c>
      <c r="K366" s="1">
        <v>45352</v>
      </c>
    </row>
    <row r="367" spans="1:11">
      <c r="A367" s="1" t="s">
        <v>417</v>
      </c>
      <c r="B367" s="1" t="s">
        <v>31</v>
      </c>
      <c r="C367" s="1" t="s">
        <v>32</v>
      </c>
      <c r="D367">
        <v>3</v>
      </c>
      <c r="E367">
        <v>232.58</v>
      </c>
      <c r="F367">
        <v>697.74</v>
      </c>
      <c r="G367" s="2">
        <v>45297</v>
      </c>
      <c r="H367" s="1" t="s">
        <v>26</v>
      </c>
      <c r="I367" s="1" t="s">
        <v>60</v>
      </c>
      <c r="J367">
        <v>697.74</v>
      </c>
      <c r="K367" s="1">
        <v>45292</v>
      </c>
    </row>
    <row r="368" spans="1:11">
      <c r="A368" s="1" t="s">
        <v>418</v>
      </c>
      <c r="B368" s="1" t="s">
        <v>62</v>
      </c>
      <c r="C368" s="1" t="s">
        <v>32</v>
      </c>
      <c r="D368">
        <v>1</v>
      </c>
      <c r="E368">
        <v>935.7</v>
      </c>
      <c r="F368">
        <v>935.7</v>
      </c>
      <c r="G368" s="2">
        <v>45626</v>
      </c>
      <c r="H368" s="1" t="s">
        <v>14</v>
      </c>
      <c r="I368" s="1" t="s">
        <v>15</v>
      </c>
      <c r="J368">
        <v>935.7</v>
      </c>
      <c r="K368" s="1">
        <v>45597</v>
      </c>
    </row>
    <row r="369" spans="1:11">
      <c r="A369" s="1" t="s">
        <v>419</v>
      </c>
      <c r="B369" s="1" t="s">
        <v>62</v>
      </c>
      <c r="C369" s="1" t="s">
        <v>32</v>
      </c>
      <c r="D369">
        <v>9</v>
      </c>
      <c r="E369">
        <v>931.22</v>
      </c>
      <c r="F369">
        <v>8380.98</v>
      </c>
      <c r="G369" s="2">
        <v>45321</v>
      </c>
      <c r="H369" s="1" t="s">
        <v>45</v>
      </c>
      <c r="I369" s="1" t="s">
        <v>15</v>
      </c>
      <c r="J369">
        <v>8380.98</v>
      </c>
      <c r="K369" s="1">
        <v>45292</v>
      </c>
    </row>
    <row r="370" spans="1:11">
      <c r="A370" s="1" t="s">
        <v>420</v>
      </c>
      <c r="B370" s="1" t="s">
        <v>31</v>
      </c>
      <c r="C370" s="1" t="s">
        <v>32</v>
      </c>
      <c r="D370">
        <v>9</v>
      </c>
      <c r="E370">
        <v>291.75</v>
      </c>
      <c r="F370">
        <v>2625.75</v>
      </c>
      <c r="G370" s="2">
        <v>45300</v>
      </c>
      <c r="H370" s="1" t="s">
        <v>45</v>
      </c>
      <c r="I370" s="1" t="s">
        <v>36</v>
      </c>
      <c r="J370">
        <v>2625.75</v>
      </c>
      <c r="K370" s="1">
        <v>45292</v>
      </c>
    </row>
    <row r="371" spans="1:11">
      <c r="A371" s="1" t="s">
        <v>421</v>
      </c>
      <c r="B371" s="1" t="s">
        <v>17</v>
      </c>
      <c r="C371" s="1" t="s">
        <v>18</v>
      </c>
      <c r="D371">
        <v>14</v>
      </c>
      <c r="E371">
        <v>11.15</v>
      </c>
      <c r="F371">
        <v>156.1</v>
      </c>
      <c r="G371" s="2">
        <v>45424</v>
      </c>
      <c r="H371" s="1" t="s">
        <v>35</v>
      </c>
      <c r="I371" s="1" t="s">
        <v>60</v>
      </c>
      <c r="J371">
        <v>156.1</v>
      </c>
      <c r="K371" s="1">
        <v>45413</v>
      </c>
    </row>
    <row r="372" spans="1:11">
      <c r="A372" s="1" t="s">
        <v>422</v>
      </c>
      <c r="B372" s="1" t="s">
        <v>12</v>
      </c>
      <c r="C372" s="1" t="s">
        <v>13</v>
      </c>
      <c r="D372">
        <v>17</v>
      </c>
      <c r="E372">
        <v>160.16</v>
      </c>
      <c r="F372">
        <v>2722.72</v>
      </c>
      <c r="G372" s="2">
        <v>45610</v>
      </c>
      <c r="H372" s="1" t="s">
        <v>45</v>
      </c>
      <c r="I372" s="1" t="s">
        <v>135</v>
      </c>
      <c r="J372">
        <v>2722.72</v>
      </c>
      <c r="K372" s="1">
        <v>45597</v>
      </c>
    </row>
    <row r="373" spans="1:11">
      <c r="A373" s="1" t="s">
        <v>423</v>
      </c>
      <c r="B373" s="1" t="s">
        <v>40</v>
      </c>
      <c r="C373" s="1" t="s">
        <v>25</v>
      </c>
      <c r="D373">
        <v>4</v>
      </c>
      <c r="E373">
        <v>12.07</v>
      </c>
      <c r="F373">
        <v>48.28</v>
      </c>
      <c r="G373" s="2">
        <v>45415</v>
      </c>
      <c r="H373" s="1" t="s">
        <v>35</v>
      </c>
      <c r="I373" s="1" t="s">
        <v>38</v>
      </c>
      <c r="J373">
        <v>48.28</v>
      </c>
      <c r="K373" s="1">
        <v>45413</v>
      </c>
    </row>
    <row r="374" spans="1:11">
      <c r="A374" s="1" t="s">
        <v>424</v>
      </c>
      <c r="B374" s="1" t="s">
        <v>24</v>
      </c>
      <c r="C374" s="1" t="s">
        <v>25</v>
      </c>
      <c r="D374">
        <v>7</v>
      </c>
      <c r="E374">
        <v>1.41</v>
      </c>
      <c r="F374">
        <v>9.8699999999999992</v>
      </c>
      <c r="G374" s="2">
        <v>45308</v>
      </c>
      <c r="H374" s="1" t="s">
        <v>19</v>
      </c>
      <c r="I374" s="1" t="s">
        <v>33</v>
      </c>
      <c r="J374">
        <v>9.8699999999999992</v>
      </c>
      <c r="K374" s="1">
        <v>45292</v>
      </c>
    </row>
    <row r="375" spans="1:11">
      <c r="A375" s="1" t="s">
        <v>425</v>
      </c>
      <c r="B375" s="1" t="s">
        <v>43</v>
      </c>
      <c r="C375" s="1" t="s">
        <v>13</v>
      </c>
      <c r="D375">
        <v>2</v>
      </c>
      <c r="E375">
        <v>180.47</v>
      </c>
      <c r="F375">
        <v>360.94</v>
      </c>
      <c r="G375" s="2">
        <v>45335</v>
      </c>
      <c r="H375" s="1" t="s">
        <v>35</v>
      </c>
      <c r="I375" s="1" t="s">
        <v>98</v>
      </c>
      <c r="J375">
        <v>360.94</v>
      </c>
      <c r="K375" s="1">
        <v>45323</v>
      </c>
    </row>
    <row r="376" spans="1:11">
      <c r="A376" s="1" t="s">
        <v>426</v>
      </c>
      <c r="B376" s="1" t="s">
        <v>40</v>
      </c>
      <c r="C376" s="1" t="s">
        <v>25</v>
      </c>
      <c r="D376">
        <v>4</v>
      </c>
      <c r="E376">
        <v>19.920000000000002</v>
      </c>
      <c r="F376">
        <v>79.680000000000007</v>
      </c>
      <c r="G376" s="2">
        <v>45454</v>
      </c>
      <c r="H376" s="1" t="s">
        <v>14</v>
      </c>
      <c r="I376" s="1" t="s">
        <v>41</v>
      </c>
      <c r="J376">
        <v>79.680000000000007</v>
      </c>
      <c r="K376" s="1">
        <v>45444</v>
      </c>
    </row>
    <row r="377" spans="1:11">
      <c r="A377" s="1" t="s">
        <v>427</v>
      </c>
      <c r="B377" s="1" t="s">
        <v>54</v>
      </c>
      <c r="C377" s="1" t="s">
        <v>32</v>
      </c>
      <c r="D377">
        <v>1</v>
      </c>
      <c r="E377">
        <v>254.54</v>
      </c>
      <c r="F377">
        <v>254.54</v>
      </c>
      <c r="G377" s="2">
        <v>45302</v>
      </c>
      <c r="H377" s="1" t="s">
        <v>45</v>
      </c>
      <c r="I377" s="1" t="s">
        <v>49</v>
      </c>
      <c r="J377">
        <v>254.54</v>
      </c>
      <c r="K377" s="1">
        <v>45292</v>
      </c>
    </row>
    <row r="378" spans="1:11">
      <c r="A378" s="1" t="s">
        <v>428</v>
      </c>
      <c r="B378" s="1" t="s">
        <v>31</v>
      </c>
      <c r="C378" s="1" t="s">
        <v>32</v>
      </c>
      <c r="D378">
        <v>19</v>
      </c>
      <c r="E378">
        <v>286.64999999999998</v>
      </c>
      <c r="F378">
        <v>5446.35</v>
      </c>
      <c r="G378" s="2">
        <v>45426</v>
      </c>
      <c r="H378" s="1" t="s">
        <v>45</v>
      </c>
      <c r="I378" s="1" t="s">
        <v>15</v>
      </c>
      <c r="J378">
        <v>5446.35</v>
      </c>
      <c r="K378" s="1">
        <v>45413</v>
      </c>
    </row>
    <row r="379" spans="1:11">
      <c r="A379" s="1" t="s">
        <v>429</v>
      </c>
      <c r="B379" s="1" t="s">
        <v>12</v>
      </c>
      <c r="C379" s="1" t="s">
        <v>13</v>
      </c>
      <c r="D379">
        <v>2</v>
      </c>
      <c r="E379">
        <v>199.59</v>
      </c>
      <c r="F379">
        <v>399.18</v>
      </c>
      <c r="G379" s="2">
        <v>45316</v>
      </c>
      <c r="H379" s="1" t="s">
        <v>45</v>
      </c>
      <c r="I379" s="1" t="s">
        <v>15</v>
      </c>
      <c r="J379">
        <v>399.18</v>
      </c>
      <c r="K379" s="1">
        <v>45292</v>
      </c>
    </row>
    <row r="380" spans="1:11">
      <c r="A380" s="1" t="s">
        <v>430</v>
      </c>
      <c r="B380" s="1" t="s">
        <v>17</v>
      </c>
      <c r="C380" s="1" t="s">
        <v>18</v>
      </c>
      <c r="D380">
        <v>17</v>
      </c>
      <c r="E380">
        <v>8.77</v>
      </c>
      <c r="F380">
        <v>149.09</v>
      </c>
      <c r="G380" s="2">
        <v>45304</v>
      </c>
      <c r="H380" s="1" t="s">
        <v>45</v>
      </c>
      <c r="I380" s="1" t="s">
        <v>33</v>
      </c>
      <c r="J380">
        <v>149.09</v>
      </c>
      <c r="K380" s="1">
        <v>45292</v>
      </c>
    </row>
    <row r="381" spans="1:11">
      <c r="A381" s="1" t="s">
        <v>431</v>
      </c>
      <c r="B381" s="1" t="s">
        <v>31</v>
      </c>
      <c r="C381" s="1" t="s">
        <v>32</v>
      </c>
      <c r="D381">
        <v>18</v>
      </c>
      <c r="E381">
        <v>168.63</v>
      </c>
      <c r="F381">
        <v>3035.34</v>
      </c>
      <c r="G381" s="2">
        <v>45543</v>
      </c>
      <c r="H381" s="1" t="s">
        <v>14</v>
      </c>
      <c r="I381" s="1" t="s">
        <v>81</v>
      </c>
      <c r="J381">
        <v>3035.34</v>
      </c>
      <c r="K381" s="1">
        <v>45536</v>
      </c>
    </row>
    <row r="382" spans="1:11">
      <c r="A382" s="1" t="s">
        <v>432</v>
      </c>
      <c r="B382" s="1" t="s">
        <v>21</v>
      </c>
      <c r="C382" s="1" t="s">
        <v>22</v>
      </c>
      <c r="D382">
        <v>1</v>
      </c>
      <c r="E382">
        <v>6658.84</v>
      </c>
      <c r="F382">
        <v>6658.84</v>
      </c>
      <c r="G382" s="2">
        <v>45407</v>
      </c>
      <c r="H382" s="1" t="s">
        <v>26</v>
      </c>
      <c r="I382" s="1" t="s">
        <v>38</v>
      </c>
      <c r="J382">
        <v>6658.84</v>
      </c>
      <c r="K382" s="1">
        <v>45383</v>
      </c>
    </row>
    <row r="383" spans="1:11">
      <c r="A383" s="1" t="s">
        <v>433</v>
      </c>
      <c r="B383" s="1" t="s">
        <v>31</v>
      </c>
      <c r="C383" s="1" t="s">
        <v>32</v>
      </c>
      <c r="D383">
        <v>9</v>
      </c>
      <c r="E383">
        <v>166.38</v>
      </c>
      <c r="F383">
        <v>1497.42</v>
      </c>
      <c r="G383" s="2">
        <v>45357</v>
      </c>
      <c r="H383" s="1" t="s">
        <v>35</v>
      </c>
      <c r="I383" s="1" t="s">
        <v>49</v>
      </c>
      <c r="J383">
        <v>1497.42</v>
      </c>
      <c r="K383" s="1">
        <v>45352</v>
      </c>
    </row>
    <row r="384" spans="1:11">
      <c r="A384" s="1" t="s">
        <v>434</v>
      </c>
      <c r="B384" s="1" t="s">
        <v>62</v>
      </c>
      <c r="C384" s="1" t="s">
        <v>32</v>
      </c>
      <c r="D384">
        <v>13</v>
      </c>
      <c r="E384">
        <v>885.9</v>
      </c>
      <c r="F384">
        <v>11516.7</v>
      </c>
      <c r="G384" s="2">
        <v>45648</v>
      </c>
      <c r="H384" s="1" t="s">
        <v>45</v>
      </c>
      <c r="I384" s="1" t="s">
        <v>51</v>
      </c>
      <c r="J384">
        <v>11516.7</v>
      </c>
      <c r="K384" s="1">
        <v>45627</v>
      </c>
    </row>
    <row r="385" spans="1:11">
      <c r="A385" s="1" t="s">
        <v>435</v>
      </c>
      <c r="B385" s="1" t="s">
        <v>54</v>
      </c>
      <c r="C385" s="1" t="s">
        <v>32</v>
      </c>
      <c r="D385">
        <v>3</v>
      </c>
      <c r="E385">
        <v>363.3</v>
      </c>
      <c r="F385">
        <v>1089.9000000000001</v>
      </c>
      <c r="G385" s="2">
        <v>45501</v>
      </c>
      <c r="H385" s="1" t="s">
        <v>14</v>
      </c>
      <c r="I385" s="1" t="s">
        <v>49</v>
      </c>
      <c r="J385">
        <v>1089.9000000000001</v>
      </c>
      <c r="K385" s="1">
        <v>45474</v>
      </c>
    </row>
    <row r="386" spans="1:11">
      <c r="A386" s="1" t="s">
        <v>436</v>
      </c>
      <c r="B386" s="1" t="s">
        <v>43</v>
      </c>
      <c r="C386" s="1" t="s">
        <v>13</v>
      </c>
      <c r="D386">
        <v>3</v>
      </c>
      <c r="E386">
        <v>122.09</v>
      </c>
      <c r="F386">
        <v>366.27</v>
      </c>
      <c r="G386" s="2">
        <v>45407</v>
      </c>
      <c r="H386" s="1" t="s">
        <v>45</v>
      </c>
      <c r="I386" s="1" t="s">
        <v>29</v>
      </c>
      <c r="J386">
        <v>366.27</v>
      </c>
      <c r="K386" s="1">
        <v>45383</v>
      </c>
    </row>
    <row r="387" spans="1:11">
      <c r="A387" s="1" t="s">
        <v>437</v>
      </c>
      <c r="B387" s="1" t="s">
        <v>31</v>
      </c>
      <c r="C387" s="1" t="s">
        <v>32</v>
      </c>
      <c r="D387">
        <v>10</v>
      </c>
      <c r="E387">
        <v>171.14</v>
      </c>
      <c r="F387">
        <v>1711.4</v>
      </c>
      <c r="G387" s="2">
        <v>45352</v>
      </c>
      <c r="H387" s="1" t="s">
        <v>35</v>
      </c>
      <c r="I387" s="1" t="s">
        <v>15</v>
      </c>
      <c r="J387">
        <v>1711.4</v>
      </c>
      <c r="K387" s="1">
        <v>45352</v>
      </c>
    </row>
    <row r="388" spans="1:11">
      <c r="A388" s="1" t="s">
        <v>438</v>
      </c>
      <c r="B388" s="1" t="s">
        <v>62</v>
      </c>
      <c r="C388" s="1" t="s">
        <v>32</v>
      </c>
      <c r="D388">
        <v>8</v>
      </c>
      <c r="E388">
        <v>949.48</v>
      </c>
      <c r="F388">
        <v>7595.84</v>
      </c>
      <c r="G388" s="2">
        <v>45434</v>
      </c>
      <c r="H388" s="1" t="s">
        <v>14</v>
      </c>
      <c r="I388" s="1" t="s">
        <v>36</v>
      </c>
      <c r="J388">
        <v>7595.84</v>
      </c>
      <c r="K388" s="1">
        <v>45413</v>
      </c>
    </row>
    <row r="389" spans="1:11">
      <c r="A389" s="1" t="s">
        <v>439</v>
      </c>
      <c r="B389" s="1" t="s">
        <v>21</v>
      </c>
      <c r="C389" s="1" t="s">
        <v>22</v>
      </c>
      <c r="D389">
        <v>1</v>
      </c>
      <c r="E389">
        <v>5284.47</v>
      </c>
      <c r="F389">
        <v>5284.47</v>
      </c>
      <c r="G389" s="2">
        <v>45492</v>
      </c>
      <c r="H389" s="1" t="s">
        <v>19</v>
      </c>
      <c r="I389" s="1" t="s">
        <v>60</v>
      </c>
      <c r="J389">
        <v>5284.47</v>
      </c>
      <c r="K389" s="1">
        <v>45474</v>
      </c>
    </row>
    <row r="390" spans="1:11">
      <c r="A390" s="1" t="s">
        <v>440</v>
      </c>
      <c r="B390" s="1" t="s">
        <v>56</v>
      </c>
      <c r="C390" s="1" t="s">
        <v>57</v>
      </c>
      <c r="D390">
        <v>18</v>
      </c>
      <c r="E390">
        <v>43.54</v>
      </c>
      <c r="F390">
        <v>783.72</v>
      </c>
      <c r="G390" s="2">
        <v>45378</v>
      </c>
      <c r="H390" s="1" t="s">
        <v>26</v>
      </c>
      <c r="I390" s="1" t="s">
        <v>47</v>
      </c>
      <c r="J390">
        <v>783.72</v>
      </c>
      <c r="K390" s="1">
        <v>45352</v>
      </c>
    </row>
    <row r="391" spans="1:11">
      <c r="A391" s="1" t="s">
        <v>441</v>
      </c>
      <c r="B391" s="1" t="s">
        <v>54</v>
      </c>
      <c r="C391" s="1" t="s">
        <v>32</v>
      </c>
      <c r="D391">
        <v>13</v>
      </c>
      <c r="E391">
        <v>325.75</v>
      </c>
      <c r="F391">
        <v>4234.75</v>
      </c>
      <c r="G391" s="2">
        <v>45479</v>
      </c>
      <c r="H391" s="1" t="s">
        <v>14</v>
      </c>
      <c r="I391" s="1" t="s">
        <v>33</v>
      </c>
      <c r="J391">
        <v>4234.75</v>
      </c>
      <c r="K391" s="1">
        <v>45474</v>
      </c>
    </row>
    <row r="392" spans="1:11">
      <c r="A392" s="1" t="s">
        <v>442</v>
      </c>
      <c r="B392" s="1" t="s">
        <v>17</v>
      </c>
      <c r="C392" s="1" t="s">
        <v>18</v>
      </c>
      <c r="D392">
        <v>3</v>
      </c>
      <c r="E392">
        <v>10.6</v>
      </c>
      <c r="F392">
        <v>31.8</v>
      </c>
      <c r="G392" s="2">
        <v>45444</v>
      </c>
      <c r="H392" s="1" t="s">
        <v>45</v>
      </c>
      <c r="I392" s="1" t="s">
        <v>87</v>
      </c>
      <c r="J392">
        <v>31.8</v>
      </c>
      <c r="K392" s="1">
        <v>45444</v>
      </c>
    </row>
    <row r="393" spans="1:11">
      <c r="A393" s="1" t="s">
        <v>443</v>
      </c>
      <c r="B393" s="1" t="s">
        <v>24</v>
      </c>
      <c r="C393" s="1" t="s">
        <v>25</v>
      </c>
      <c r="D393">
        <v>14</v>
      </c>
      <c r="E393">
        <v>1.61</v>
      </c>
      <c r="F393">
        <v>22.54</v>
      </c>
      <c r="G393" s="2">
        <v>45413</v>
      </c>
      <c r="H393" s="1" t="s">
        <v>14</v>
      </c>
      <c r="I393" s="1" t="s">
        <v>60</v>
      </c>
      <c r="J393">
        <v>22.54</v>
      </c>
      <c r="K393" s="1">
        <v>45413</v>
      </c>
    </row>
    <row r="394" spans="1:11">
      <c r="A394" s="1" t="s">
        <v>444</v>
      </c>
      <c r="B394" s="1" t="s">
        <v>43</v>
      </c>
      <c r="C394" s="1" t="s">
        <v>13</v>
      </c>
      <c r="D394">
        <v>13</v>
      </c>
      <c r="E394">
        <v>149.83000000000001</v>
      </c>
      <c r="F394">
        <v>1947.79</v>
      </c>
      <c r="G394" s="2">
        <v>45307</v>
      </c>
      <c r="H394" s="1" t="s">
        <v>45</v>
      </c>
      <c r="I394" s="1" t="s">
        <v>29</v>
      </c>
      <c r="J394">
        <v>1947.79</v>
      </c>
      <c r="K394" s="1">
        <v>45292</v>
      </c>
    </row>
    <row r="395" spans="1:11">
      <c r="A395" s="1" t="s">
        <v>445</v>
      </c>
      <c r="B395" s="1" t="s">
        <v>54</v>
      </c>
      <c r="C395" s="1" t="s">
        <v>32</v>
      </c>
      <c r="D395">
        <v>12</v>
      </c>
      <c r="E395">
        <v>262.86</v>
      </c>
      <c r="F395">
        <v>3154.32</v>
      </c>
      <c r="G395" s="2">
        <v>45617</v>
      </c>
      <c r="H395" s="1" t="s">
        <v>26</v>
      </c>
      <c r="I395" s="1" t="s">
        <v>33</v>
      </c>
      <c r="J395">
        <v>3154.32</v>
      </c>
      <c r="K395" s="1">
        <v>45597</v>
      </c>
    </row>
    <row r="396" spans="1:11">
      <c r="A396" s="1" t="s">
        <v>446</v>
      </c>
      <c r="B396" s="1" t="s">
        <v>21</v>
      </c>
      <c r="C396" s="1" t="s">
        <v>22</v>
      </c>
      <c r="D396">
        <v>1</v>
      </c>
      <c r="E396">
        <v>9550.0499999999993</v>
      </c>
      <c r="F396">
        <v>9550.0499999999993</v>
      </c>
      <c r="G396" s="2">
        <v>45424</v>
      </c>
      <c r="H396" s="1" t="s">
        <v>26</v>
      </c>
      <c r="I396" s="1" t="s">
        <v>71</v>
      </c>
      <c r="J396">
        <v>9550.0499999999993</v>
      </c>
      <c r="K396" s="1">
        <v>45413</v>
      </c>
    </row>
    <row r="397" spans="1:11">
      <c r="A397" s="1" t="s">
        <v>447</v>
      </c>
      <c r="B397" s="1" t="s">
        <v>54</v>
      </c>
      <c r="C397" s="1" t="s">
        <v>32</v>
      </c>
      <c r="D397">
        <v>3</v>
      </c>
      <c r="E397">
        <v>294.24</v>
      </c>
      <c r="F397">
        <v>882.72</v>
      </c>
      <c r="G397" s="2">
        <v>45361</v>
      </c>
      <c r="H397" s="1" t="s">
        <v>26</v>
      </c>
      <c r="I397" s="1" t="s">
        <v>81</v>
      </c>
      <c r="J397">
        <v>882.72</v>
      </c>
      <c r="K397" s="1">
        <v>45352</v>
      </c>
    </row>
    <row r="398" spans="1:11">
      <c r="A398" s="1" t="s">
        <v>448</v>
      </c>
      <c r="B398" s="1" t="s">
        <v>43</v>
      </c>
      <c r="C398" s="1" t="s">
        <v>13</v>
      </c>
      <c r="D398">
        <v>2</v>
      </c>
      <c r="E398">
        <v>133.13</v>
      </c>
      <c r="F398">
        <v>266.26</v>
      </c>
      <c r="G398" s="2">
        <v>45618</v>
      </c>
      <c r="H398" s="1" t="s">
        <v>45</v>
      </c>
      <c r="I398" s="1" t="s">
        <v>81</v>
      </c>
      <c r="J398">
        <v>266.26</v>
      </c>
      <c r="K398" s="1">
        <v>45597</v>
      </c>
    </row>
    <row r="399" spans="1:11">
      <c r="A399" s="1" t="s">
        <v>449</v>
      </c>
      <c r="B399" s="1" t="s">
        <v>43</v>
      </c>
      <c r="C399" s="1" t="s">
        <v>13</v>
      </c>
      <c r="D399">
        <v>19</v>
      </c>
      <c r="E399">
        <v>166.68</v>
      </c>
      <c r="F399">
        <v>3166.92</v>
      </c>
      <c r="G399" s="2">
        <v>45536</v>
      </c>
      <c r="H399" s="1" t="s">
        <v>26</v>
      </c>
      <c r="I399" s="1" t="s">
        <v>49</v>
      </c>
      <c r="J399">
        <v>3166.92</v>
      </c>
      <c r="K399" s="1">
        <v>45536</v>
      </c>
    </row>
    <row r="400" spans="1:11">
      <c r="A400" s="1" t="s">
        <v>450</v>
      </c>
      <c r="B400" s="1" t="s">
        <v>24</v>
      </c>
      <c r="C400" s="1" t="s">
        <v>25</v>
      </c>
      <c r="D400">
        <v>6</v>
      </c>
      <c r="E400">
        <v>1.56</v>
      </c>
      <c r="F400">
        <v>9.36</v>
      </c>
      <c r="G400" s="2">
        <v>45638</v>
      </c>
      <c r="H400" s="1" t="s">
        <v>45</v>
      </c>
      <c r="I400" s="1" t="s">
        <v>135</v>
      </c>
      <c r="J400">
        <v>9.36</v>
      </c>
      <c r="K400" s="1">
        <v>45627</v>
      </c>
    </row>
    <row r="401" spans="1:11">
      <c r="A401" s="1" t="s">
        <v>451</v>
      </c>
      <c r="B401" s="1" t="s">
        <v>31</v>
      </c>
      <c r="C401" s="1" t="s">
        <v>32</v>
      </c>
      <c r="D401">
        <v>2</v>
      </c>
      <c r="E401">
        <v>219.62</v>
      </c>
      <c r="F401">
        <v>439.24</v>
      </c>
      <c r="G401" s="2">
        <v>45547</v>
      </c>
      <c r="H401" s="1" t="s">
        <v>14</v>
      </c>
      <c r="I401" s="1" t="s">
        <v>66</v>
      </c>
      <c r="J401">
        <v>439.24</v>
      </c>
      <c r="K401" s="1">
        <v>45536</v>
      </c>
    </row>
    <row r="402" spans="1:11">
      <c r="A402" s="1" t="s">
        <v>452</v>
      </c>
      <c r="B402" s="1" t="s">
        <v>56</v>
      </c>
      <c r="C402" s="1" t="s">
        <v>57</v>
      </c>
      <c r="D402">
        <v>9</v>
      </c>
      <c r="E402">
        <v>22.03</v>
      </c>
      <c r="F402">
        <v>198.27</v>
      </c>
      <c r="G402" s="2">
        <v>45483</v>
      </c>
      <c r="H402" s="1" t="s">
        <v>35</v>
      </c>
      <c r="I402" s="1" t="s">
        <v>49</v>
      </c>
      <c r="J402">
        <v>198.27</v>
      </c>
      <c r="K402" s="1">
        <v>45474</v>
      </c>
    </row>
    <row r="403" spans="1:11">
      <c r="A403" s="1" t="s">
        <v>453</v>
      </c>
      <c r="B403" s="1" t="s">
        <v>31</v>
      </c>
      <c r="C403" s="1" t="s">
        <v>32</v>
      </c>
      <c r="D403">
        <v>11</v>
      </c>
      <c r="E403">
        <v>249.71</v>
      </c>
      <c r="F403">
        <v>2746.81</v>
      </c>
      <c r="G403" s="2">
        <v>45616</v>
      </c>
      <c r="H403" s="1" t="s">
        <v>45</v>
      </c>
      <c r="I403" s="1" t="s">
        <v>49</v>
      </c>
      <c r="J403">
        <v>2746.81</v>
      </c>
      <c r="K403" s="1">
        <v>45597</v>
      </c>
    </row>
    <row r="404" spans="1:11">
      <c r="A404" s="1" t="s">
        <v>454</v>
      </c>
      <c r="B404" s="1" t="s">
        <v>17</v>
      </c>
      <c r="C404" s="1" t="s">
        <v>18</v>
      </c>
      <c r="D404">
        <v>9</v>
      </c>
      <c r="E404">
        <v>7.9</v>
      </c>
      <c r="F404">
        <v>71.099999999999994</v>
      </c>
      <c r="G404" s="2">
        <v>45616</v>
      </c>
      <c r="H404" s="1" t="s">
        <v>19</v>
      </c>
      <c r="I404" s="1" t="s">
        <v>51</v>
      </c>
      <c r="J404">
        <v>71.099999999999994</v>
      </c>
      <c r="K404" s="1">
        <v>45597</v>
      </c>
    </row>
    <row r="405" spans="1:11">
      <c r="A405" s="1" t="s">
        <v>455</v>
      </c>
      <c r="B405" s="1" t="s">
        <v>62</v>
      </c>
      <c r="C405" s="1" t="s">
        <v>32</v>
      </c>
      <c r="D405">
        <v>20</v>
      </c>
      <c r="E405">
        <v>924.73</v>
      </c>
      <c r="F405">
        <v>18494.599999999999</v>
      </c>
      <c r="G405" s="2">
        <v>45433</v>
      </c>
      <c r="H405" s="1" t="s">
        <v>19</v>
      </c>
      <c r="I405" s="1" t="s">
        <v>49</v>
      </c>
      <c r="J405">
        <v>18494.599999999999</v>
      </c>
      <c r="K405" s="1">
        <v>45413</v>
      </c>
    </row>
    <row r="406" spans="1:11">
      <c r="A406" s="1" t="s">
        <v>456</v>
      </c>
      <c r="B406" s="1" t="s">
        <v>21</v>
      </c>
      <c r="C406" s="1" t="s">
        <v>22</v>
      </c>
      <c r="D406">
        <v>1</v>
      </c>
      <c r="E406">
        <v>7430.94</v>
      </c>
      <c r="F406">
        <v>7430.94</v>
      </c>
      <c r="G406" s="2">
        <v>45391</v>
      </c>
      <c r="H406" s="1" t="s">
        <v>35</v>
      </c>
      <c r="I406" s="1" t="s">
        <v>27</v>
      </c>
      <c r="J406">
        <v>7430.94</v>
      </c>
      <c r="K406" s="1">
        <v>45383</v>
      </c>
    </row>
    <row r="407" spans="1:11">
      <c r="A407" s="1" t="s">
        <v>457</v>
      </c>
      <c r="B407" s="1" t="s">
        <v>62</v>
      </c>
      <c r="C407" s="1" t="s">
        <v>32</v>
      </c>
      <c r="D407">
        <v>5</v>
      </c>
      <c r="E407">
        <v>840.12</v>
      </c>
      <c r="F407">
        <v>4200.6000000000004</v>
      </c>
      <c r="G407" s="2">
        <v>45562</v>
      </c>
      <c r="H407" s="1" t="s">
        <v>14</v>
      </c>
      <c r="I407" s="1" t="s">
        <v>15</v>
      </c>
      <c r="J407">
        <v>4200.6000000000004</v>
      </c>
      <c r="K407" s="1">
        <v>45536</v>
      </c>
    </row>
    <row r="408" spans="1:11">
      <c r="A408" s="1" t="s">
        <v>458</v>
      </c>
      <c r="B408" s="1" t="s">
        <v>24</v>
      </c>
      <c r="C408" s="1" t="s">
        <v>25</v>
      </c>
      <c r="D408">
        <v>16</v>
      </c>
      <c r="E408">
        <v>2.67</v>
      </c>
      <c r="F408">
        <v>42.72</v>
      </c>
      <c r="G408" s="2">
        <v>45361</v>
      </c>
      <c r="H408" s="1" t="s">
        <v>14</v>
      </c>
      <c r="I408" s="1" t="s">
        <v>60</v>
      </c>
      <c r="J408">
        <v>42.72</v>
      </c>
      <c r="K408" s="1">
        <v>45352</v>
      </c>
    </row>
    <row r="409" spans="1:11">
      <c r="A409" s="1" t="s">
        <v>459</v>
      </c>
      <c r="B409" s="1" t="s">
        <v>54</v>
      </c>
      <c r="C409" s="1" t="s">
        <v>32</v>
      </c>
      <c r="D409">
        <v>11</v>
      </c>
      <c r="E409">
        <v>230.1</v>
      </c>
      <c r="F409">
        <v>2531.1</v>
      </c>
      <c r="G409" s="2">
        <v>45650</v>
      </c>
      <c r="H409" s="1" t="s">
        <v>14</v>
      </c>
      <c r="I409" s="1" t="s">
        <v>47</v>
      </c>
      <c r="J409">
        <v>2531.1</v>
      </c>
      <c r="K409" s="1">
        <v>45627</v>
      </c>
    </row>
    <row r="410" spans="1:11">
      <c r="A410" s="1" t="s">
        <v>460</v>
      </c>
      <c r="B410" s="1" t="s">
        <v>56</v>
      </c>
      <c r="C410" s="1" t="s">
        <v>57</v>
      </c>
      <c r="D410">
        <v>16</v>
      </c>
      <c r="E410">
        <v>30.6</v>
      </c>
      <c r="F410">
        <v>489.6</v>
      </c>
      <c r="G410" s="2">
        <v>45607</v>
      </c>
      <c r="H410" s="1" t="s">
        <v>19</v>
      </c>
      <c r="I410" s="1" t="s">
        <v>15</v>
      </c>
      <c r="J410">
        <v>489.6</v>
      </c>
      <c r="K410" s="1">
        <v>45597</v>
      </c>
    </row>
    <row r="411" spans="1:11">
      <c r="A411" s="1" t="s">
        <v>461</v>
      </c>
      <c r="B411" s="1" t="s">
        <v>24</v>
      </c>
      <c r="C411" s="1" t="s">
        <v>25</v>
      </c>
      <c r="D411">
        <v>20</v>
      </c>
      <c r="E411">
        <v>1.29</v>
      </c>
      <c r="F411">
        <v>25.8</v>
      </c>
      <c r="G411" s="2">
        <v>45416</v>
      </c>
      <c r="H411" s="1" t="s">
        <v>14</v>
      </c>
      <c r="I411" s="1" t="s">
        <v>15</v>
      </c>
      <c r="J411">
        <v>25.8</v>
      </c>
      <c r="K411" s="1">
        <v>45413</v>
      </c>
    </row>
    <row r="412" spans="1:11">
      <c r="A412" s="1" t="s">
        <v>462</v>
      </c>
      <c r="B412" s="1" t="s">
        <v>62</v>
      </c>
      <c r="C412" s="1" t="s">
        <v>32</v>
      </c>
      <c r="D412">
        <v>12</v>
      </c>
      <c r="E412">
        <v>855.91</v>
      </c>
      <c r="F412">
        <v>10270.92</v>
      </c>
      <c r="G412" s="2">
        <v>45373</v>
      </c>
      <c r="H412" s="1" t="s">
        <v>35</v>
      </c>
      <c r="I412" s="1" t="s">
        <v>27</v>
      </c>
      <c r="J412">
        <v>10270.92</v>
      </c>
      <c r="K412" s="1">
        <v>45352</v>
      </c>
    </row>
    <row r="413" spans="1:11">
      <c r="A413" s="1" t="s">
        <v>463</v>
      </c>
      <c r="B413" s="1" t="s">
        <v>31</v>
      </c>
      <c r="C413" s="1" t="s">
        <v>32</v>
      </c>
      <c r="D413">
        <v>20</v>
      </c>
      <c r="E413">
        <v>225.82</v>
      </c>
      <c r="F413">
        <v>4516.3999999999996</v>
      </c>
      <c r="G413" s="2">
        <v>45366</v>
      </c>
      <c r="H413" s="1" t="s">
        <v>26</v>
      </c>
      <c r="I413" s="1" t="s">
        <v>38</v>
      </c>
      <c r="J413">
        <v>4516.3999999999996</v>
      </c>
      <c r="K413" s="1">
        <v>45352</v>
      </c>
    </row>
    <row r="414" spans="1:11">
      <c r="A414" s="1" t="s">
        <v>464</v>
      </c>
      <c r="B414" s="1" t="s">
        <v>43</v>
      </c>
      <c r="C414" s="1" t="s">
        <v>13</v>
      </c>
      <c r="D414">
        <v>16</v>
      </c>
      <c r="E414">
        <v>140.62</v>
      </c>
      <c r="F414">
        <v>2249.92</v>
      </c>
      <c r="G414" s="2">
        <v>45358</v>
      </c>
      <c r="H414" s="1" t="s">
        <v>45</v>
      </c>
      <c r="I414" s="1" t="s">
        <v>38</v>
      </c>
      <c r="J414">
        <v>2249.92</v>
      </c>
      <c r="K414" s="1">
        <v>45352</v>
      </c>
    </row>
    <row r="415" spans="1:11">
      <c r="A415" s="1" t="s">
        <v>465</v>
      </c>
      <c r="B415" s="1" t="s">
        <v>54</v>
      </c>
      <c r="C415" s="1" t="s">
        <v>32</v>
      </c>
      <c r="D415">
        <v>12</v>
      </c>
      <c r="E415">
        <v>370.17</v>
      </c>
      <c r="F415">
        <v>4442.04</v>
      </c>
      <c r="G415" s="2">
        <v>45600</v>
      </c>
      <c r="H415" s="1" t="s">
        <v>26</v>
      </c>
      <c r="I415" s="1" t="s">
        <v>41</v>
      </c>
      <c r="J415">
        <v>4442.04</v>
      </c>
      <c r="K415" s="1">
        <v>45597</v>
      </c>
    </row>
    <row r="416" spans="1:11">
      <c r="A416" s="1" t="s">
        <v>466</v>
      </c>
      <c r="B416" s="1" t="s">
        <v>17</v>
      </c>
      <c r="C416" s="1" t="s">
        <v>18</v>
      </c>
      <c r="D416">
        <v>14</v>
      </c>
      <c r="E416">
        <v>8.4</v>
      </c>
      <c r="F416">
        <v>117.6</v>
      </c>
      <c r="G416" s="2">
        <v>45565</v>
      </c>
      <c r="H416" s="1" t="s">
        <v>26</v>
      </c>
      <c r="I416" s="1" t="s">
        <v>51</v>
      </c>
      <c r="J416">
        <v>117.6</v>
      </c>
      <c r="K416" s="1">
        <v>45536</v>
      </c>
    </row>
    <row r="417" spans="1:11">
      <c r="A417" s="1" t="s">
        <v>467</v>
      </c>
      <c r="B417" s="1" t="s">
        <v>17</v>
      </c>
      <c r="C417" s="1" t="s">
        <v>18</v>
      </c>
      <c r="D417">
        <v>19</v>
      </c>
      <c r="E417">
        <v>12.71</v>
      </c>
      <c r="F417">
        <v>241.49</v>
      </c>
      <c r="G417" s="2">
        <v>45320</v>
      </c>
      <c r="H417" s="1" t="s">
        <v>45</v>
      </c>
      <c r="I417" s="1" t="s">
        <v>41</v>
      </c>
      <c r="J417">
        <v>241.49</v>
      </c>
      <c r="K417" s="1">
        <v>45292</v>
      </c>
    </row>
    <row r="418" spans="1:11">
      <c r="A418" s="1" t="s">
        <v>468</v>
      </c>
      <c r="B418" s="1" t="s">
        <v>40</v>
      </c>
      <c r="C418" s="1" t="s">
        <v>25</v>
      </c>
      <c r="D418">
        <v>2</v>
      </c>
      <c r="E418">
        <v>18.489999999999998</v>
      </c>
      <c r="F418">
        <v>36.979999999999997</v>
      </c>
      <c r="G418" s="2">
        <v>45376</v>
      </c>
      <c r="H418" s="1" t="s">
        <v>19</v>
      </c>
      <c r="I418" s="1" t="s">
        <v>96</v>
      </c>
      <c r="J418">
        <v>36.979999999999997</v>
      </c>
      <c r="K418" s="1">
        <v>45352</v>
      </c>
    </row>
    <row r="419" spans="1:11">
      <c r="A419" s="1" t="s">
        <v>469</v>
      </c>
      <c r="B419" s="1" t="s">
        <v>54</v>
      </c>
      <c r="C419" s="1" t="s">
        <v>32</v>
      </c>
      <c r="D419">
        <v>6</v>
      </c>
      <c r="E419">
        <v>234.51</v>
      </c>
      <c r="F419">
        <v>1407.06</v>
      </c>
      <c r="G419" s="2">
        <v>45325</v>
      </c>
      <c r="H419" s="1" t="s">
        <v>14</v>
      </c>
      <c r="I419" s="1" t="s">
        <v>15</v>
      </c>
      <c r="J419">
        <v>1407.06</v>
      </c>
      <c r="K419" s="1">
        <v>45323</v>
      </c>
    </row>
    <row r="420" spans="1:11">
      <c r="A420" s="1" t="s">
        <v>470</v>
      </c>
      <c r="B420" s="1" t="s">
        <v>43</v>
      </c>
      <c r="C420" s="1" t="s">
        <v>13</v>
      </c>
      <c r="D420">
        <v>13</v>
      </c>
      <c r="E420">
        <v>198</v>
      </c>
      <c r="F420">
        <v>2574</v>
      </c>
      <c r="G420" s="2">
        <v>45491</v>
      </c>
      <c r="H420" s="1" t="s">
        <v>14</v>
      </c>
      <c r="I420" s="1" t="s">
        <v>33</v>
      </c>
      <c r="J420">
        <v>2574</v>
      </c>
      <c r="K420" s="1">
        <v>45474</v>
      </c>
    </row>
    <row r="421" spans="1:11">
      <c r="A421" s="1" t="s">
        <v>471</v>
      </c>
      <c r="B421" s="1" t="s">
        <v>62</v>
      </c>
      <c r="C421" s="1" t="s">
        <v>32</v>
      </c>
      <c r="D421">
        <v>5</v>
      </c>
      <c r="E421">
        <v>876.61</v>
      </c>
      <c r="F421">
        <v>4383.05</v>
      </c>
      <c r="G421" s="2">
        <v>45646</v>
      </c>
      <c r="H421" s="1" t="s">
        <v>19</v>
      </c>
      <c r="I421" s="1" t="s">
        <v>15</v>
      </c>
      <c r="J421">
        <v>4383.05</v>
      </c>
      <c r="K421" s="1">
        <v>45627</v>
      </c>
    </row>
    <row r="422" spans="1:11">
      <c r="A422" s="1" t="s">
        <v>472</v>
      </c>
      <c r="B422" s="1" t="s">
        <v>54</v>
      </c>
      <c r="C422" s="1" t="s">
        <v>32</v>
      </c>
      <c r="D422">
        <v>5</v>
      </c>
      <c r="E422">
        <v>314.06</v>
      </c>
      <c r="F422">
        <v>1570.3</v>
      </c>
      <c r="G422" s="2">
        <v>45480</v>
      </c>
      <c r="H422" s="1" t="s">
        <v>45</v>
      </c>
      <c r="I422" s="1" t="s">
        <v>49</v>
      </c>
      <c r="J422">
        <v>1570.3</v>
      </c>
      <c r="K422" s="1">
        <v>45474</v>
      </c>
    </row>
    <row r="423" spans="1:11">
      <c r="A423" s="1" t="s">
        <v>473</v>
      </c>
      <c r="B423" s="1" t="s">
        <v>17</v>
      </c>
      <c r="C423" s="1" t="s">
        <v>18</v>
      </c>
      <c r="D423">
        <v>9</v>
      </c>
      <c r="E423">
        <v>7.49</v>
      </c>
      <c r="F423">
        <v>67.41</v>
      </c>
      <c r="G423" s="2">
        <v>45314</v>
      </c>
      <c r="H423" s="1" t="s">
        <v>35</v>
      </c>
      <c r="I423" s="1" t="s">
        <v>33</v>
      </c>
      <c r="J423">
        <v>67.41</v>
      </c>
      <c r="K423" s="1">
        <v>45292</v>
      </c>
    </row>
    <row r="424" spans="1:11">
      <c r="A424" s="1" t="s">
        <v>474</v>
      </c>
      <c r="B424" s="1" t="s">
        <v>56</v>
      </c>
      <c r="C424" s="1" t="s">
        <v>57</v>
      </c>
      <c r="D424">
        <v>18</v>
      </c>
      <c r="E424">
        <v>26.48</v>
      </c>
      <c r="F424">
        <v>476.64</v>
      </c>
      <c r="G424" s="2">
        <v>45648</v>
      </c>
      <c r="H424" s="1" t="s">
        <v>14</v>
      </c>
      <c r="I424" s="1" t="s">
        <v>96</v>
      </c>
      <c r="J424">
        <v>476.64</v>
      </c>
      <c r="K424" s="1">
        <v>45627</v>
      </c>
    </row>
    <row r="425" spans="1:11">
      <c r="A425" s="1" t="s">
        <v>475</v>
      </c>
      <c r="B425" s="1" t="s">
        <v>40</v>
      </c>
      <c r="C425" s="1" t="s">
        <v>25</v>
      </c>
      <c r="D425">
        <v>5</v>
      </c>
      <c r="E425">
        <v>18.61</v>
      </c>
      <c r="F425">
        <v>93.05</v>
      </c>
      <c r="G425" s="2">
        <v>45372</v>
      </c>
      <c r="H425" s="1" t="s">
        <v>45</v>
      </c>
      <c r="I425" s="1" t="s">
        <v>81</v>
      </c>
      <c r="J425">
        <v>93.05</v>
      </c>
      <c r="K425" s="1">
        <v>45352</v>
      </c>
    </row>
    <row r="426" spans="1:11">
      <c r="A426" s="1" t="s">
        <v>476</v>
      </c>
      <c r="B426" s="1" t="s">
        <v>40</v>
      </c>
      <c r="C426" s="1" t="s">
        <v>25</v>
      </c>
      <c r="D426">
        <v>3</v>
      </c>
      <c r="E426">
        <v>18.22</v>
      </c>
      <c r="F426">
        <v>54.66</v>
      </c>
      <c r="G426" s="2">
        <v>45297</v>
      </c>
      <c r="H426" s="1" t="s">
        <v>35</v>
      </c>
      <c r="I426" s="1" t="s">
        <v>33</v>
      </c>
      <c r="J426">
        <v>54.66</v>
      </c>
      <c r="K426" s="1">
        <v>45292</v>
      </c>
    </row>
    <row r="427" spans="1:11">
      <c r="A427" s="1" t="s">
        <v>477</v>
      </c>
      <c r="B427" s="1" t="s">
        <v>24</v>
      </c>
      <c r="C427" s="1" t="s">
        <v>25</v>
      </c>
      <c r="D427">
        <v>17</v>
      </c>
      <c r="E427">
        <v>2.5499999999999998</v>
      </c>
      <c r="F427">
        <v>43.35</v>
      </c>
      <c r="G427" s="2">
        <v>45596</v>
      </c>
      <c r="H427" s="1" t="s">
        <v>19</v>
      </c>
      <c r="I427" s="1" t="s">
        <v>33</v>
      </c>
      <c r="J427">
        <v>43.35</v>
      </c>
      <c r="K427" s="1">
        <v>45566</v>
      </c>
    </row>
    <row r="428" spans="1:11">
      <c r="A428" s="1" t="s">
        <v>478</v>
      </c>
      <c r="B428" s="1" t="s">
        <v>21</v>
      </c>
      <c r="C428" s="1" t="s">
        <v>22</v>
      </c>
      <c r="D428">
        <v>1</v>
      </c>
      <c r="E428">
        <v>5117.84</v>
      </c>
      <c r="F428">
        <v>5117.84</v>
      </c>
      <c r="G428" s="2">
        <v>45304</v>
      </c>
      <c r="H428" s="1" t="s">
        <v>19</v>
      </c>
      <c r="I428" s="1" t="s">
        <v>49</v>
      </c>
      <c r="J428">
        <v>5117.84</v>
      </c>
      <c r="K428" s="1">
        <v>45292</v>
      </c>
    </row>
    <row r="429" spans="1:11">
      <c r="A429" s="1" t="s">
        <v>479</v>
      </c>
      <c r="B429" s="1" t="s">
        <v>56</v>
      </c>
      <c r="C429" s="1" t="s">
        <v>57</v>
      </c>
      <c r="D429">
        <v>12</v>
      </c>
      <c r="E429">
        <v>20.3</v>
      </c>
      <c r="F429">
        <v>243.6</v>
      </c>
      <c r="G429" s="2">
        <v>45401</v>
      </c>
      <c r="H429" s="1" t="s">
        <v>26</v>
      </c>
      <c r="I429" s="1" t="s">
        <v>33</v>
      </c>
      <c r="J429">
        <v>243.6</v>
      </c>
      <c r="K429" s="1">
        <v>45383</v>
      </c>
    </row>
    <row r="430" spans="1:11">
      <c r="A430" s="1" t="s">
        <v>480</v>
      </c>
      <c r="B430" s="1" t="s">
        <v>56</v>
      </c>
      <c r="C430" s="1" t="s">
        <v>57</v>
      </c>
      <c r="D430">
        <v>18</v>
      </c>
      <c r="E430">
        <v>34.97</v>
      </c>
      <c r="F430">
        <v>629.46</v>
      </c>
      <c r="G430" s="2">
        <v>45374</v>
      </c>
      <c r="H430" s="1" t="s">
        <v>35</v>
      </c>
      <c r="I430" s="1" t="s">
        <v>36</v>
      </c>
      <c r="J430">
        <v>629.46</v>
      </c>
      <c r="K430" s="1">
        <v>45352</v>
      </c>
    </row>
    <row r="431" spans="1:11">
      <c r="A431" s="1" t="s">
        <v>481</v>
      </c>
      <c r="B431" s="1" t="s">
        <v>62</v>
      </c>
      <c r="C431" s="1" t="s">
        <v>32</v>
      </c>
      <c r="D431">
        <v>17</v>
      </c>
      <c r="E431">
        <v>844.38</v>
      </c>
      <c r="F431">
        <v>14354.46</v>
      </c>
      <c r="G431" s="2">
        <v>45546</v>
      </c>
      <c r="H431" s="1" t="s">
        <v>45</v>
      </c>
      <c r="I431" s="1" t="s">
        <v>33</v>
      </c>
      <c r="J431">
        <v>14354.46</v>
      </c>
      <c r="K431" s="1">
        <v>45536</v>
      </c>
    </row>
    <row r="432" spans="1:11">
      <c r="A432" s="1" t="s">
        <v>482</v>
      </c>
      <c r="B432" s="1" t="s">
        <v>21</v>
      </c>
      <c r="C432" s="1" t="s">
        <v>22</v>
      </c>
      <c r="D432">
        <v>1</v>
      </c>
      <c r="E432">
        <v>8617.42</v>
      </c>
      <c r="F432">
        <v>8617.42</v>
      </c>
      <c r="G432" s="2">
        <v>45544</v>
      </c>
      <c r="H432" s="1" t="s">
        <v>14</v>
      </c>
      <c r="I432" s="1" t="s">
        <v>15</v>
      </c>
      <c r="J432">
        <v>8617.42</v>
      </c>
      <c r="K432" s="1">
        <v>45536</v>
      </c>
    </row>
    <row r="433" spans="1:11">
      <c r="A433" s="1" t="s">
        <v>483</v>
      </c>
      <c r="B433" s="1" t="s">
        <v>43</v>
      </c>
      <c r="C433" s="1" t="s">
        <v>13</v>
      </c>
      <c r="D433">
        <v>13</v>
      </c>
      <c r="E433">
        <v>113.56</v>
      </c>
      <c r="F433">
        <v>1476.28</v>
      </c>
      <c r="G433" s="2">
        <v>45514</v>
      </c>
      <c r="H433" s="1" t="s">
        <v>26</v>
      </c>
      <c r="I433" s="1" t="s">
        <v>47</v>
      </c>
      <c r="J433">
        <v>1476.28</v>
      </c>
      <c r="K433" s="1">
        <v>45505</v>
      </c>
    </row>
    <row r="434" spans="1:11">
      <c r="A434" s="1" t="s">
        <v>484</v>
      </c>
      <c r="B434" s="1" t="s">
        <v>17</v>
      </c>
      <c r="C434" s="1" t="s">
        <v>18</v>
      </c>
      <c r="D434">
        <v>3</v>
      </c>
      <c r="E434">
        <v>5.49</v>
      </c>
      <c r="F434">
        <v>16.47</v>
      </c>
      <c r="G434" s="2">
        <v>45428</v>
      </c>
      <c r="H434" s="1" t="s">
        <v>45</v>
      </c>
      <c r="I434" s="1" t="s">
        <v>96</v>
      </c>
      <c r="J434">
        <v>16.47</v>
      </c>
      <c r="K434" s="1">
        <v>45413</v>
      </c>
    </row>
    <row r="435" spans="1:11">
      <c r="A435" s="1" t="s">
        <v>485</v>
      </c>
      <c r="B435" s="1" t="s">
        <v>21</v>
      </c>
      <c r="C435" s="1" t="s">
        <v>22</v>
      </c>
      <c r="D435">
        <v>1</v>
      </c>
      <c r="E435">
        <v>8104.62</v>
      </c>
      <c r="F435">
        <v>8104.62</v>
      </c>
      <c r="G435" s="2">
        <v>45582</v>
      </c>
      <c r="H435" s="1" t="s">
        <v>26</v>
      </c>
      <c r="I435" s="1" t="s">
        <v>38</v>
      </c>
      <c r="J435">
        <v>8104.62</v>
      </c>
      <c r="K435" s="1">
        <v>45566</v>
      </c>
    </row>
    <row r="436" spans="1:11">
      <c r="A436" s="1" t="s">
        <v>486</v>
      </c>
      <c r="B436" s="1" t="s">
        <v>31</v>
      </c>
      <c r="C436" s="1" t="s">
        <v>32</v>
      </c>
      <c r="D436">
        <v>7</v>
      </c>
      <c r="E436">
        <v>265.41000000000003</v>
      </c>
      <c r="F436">
        <v>1857.87</v>
      </c>
      <c r="G436" s="2">
        <v>45369</v>
      </c>
      <c r="H436" s="1" t="s">
        <v>35</v>
      </c>
      <c r="I436" s="1" t="s">
        <v>49</v>
      </c>
      <c r="J436">
        <v>1857.87</v>
      </c>
      <c r="K436" s="1">
        <v>45352</v>
      </c>
    </row>
    <row r="437" spans="1:11">
      <c r="A437" s="1" t="s">
        <v>487</v>
      </c>
      <c r="B437" s="1" t="s">
        <v>62</v>
      </c>
      <c r="C437" s="1" t="s">
        <v>32</v>
      </c>
      <c r="D437">
        <v>2</v>
      </c>
      <c r="E437">
        <v>806.52</v>
      </c>
      <c r="F437">
        <v>1613.04</v>
      </c>
      <c r="G437" s="2">
        <v>45428</v>
      </c>
      <c r="H437" s="1" t="s">
        <v>45</v>
      </c>
      <c r="I437" s="1" t="s">
        <v>33</v>
      </c>
      <c r="J437">
        <v>1613.04</v>
      </c>
      <c r="K437" s="1">
        <v>45413</v>
      </c>
    </row>
    <row r="438" spans="1:11">
      <c r="A438" s="1" t="s">
        <v>488</v>
      </c>
      <c r="B438" s="1" t="s">
        <v>62</v>
      </c>
      <c r="C438" s="1" t="s">
        <v>32</v>
      </c>
      <c r="D438">
        <v>9</v>
      </c>
      <c r="E438">
        <v>926.54</v>
      </c>
      <c r="F438">
        <v>8338.86</v>
      </c>
      <c r="G438" s="2">
        <v>45345</v>
      </c>
      <c r="H438" s="1" t="s">
        <v>26</v>
      </c>
      <c r="I438" s="1" t="s">
        <v>98</v>
      </c>
      <c r="J438">
        <v>8338.86</v>
      </c>
      <c r="K438" s="1">
        <v>45323</v>
      </c>
    </row>
    <row r="439" spans="1:11">
      <c r="A439" s="1" t="s">
        <v>489</v>
      </c>
      <c r="B439" s="1" t="s">
        <v>54</v>
      </c>
      <c r="C439" s="1" t="s">
        <v>32</v>
      </c>
      <c r="D439">
        <v>3</v>
      </c>
      <c r="E439">
        <v>244.23</v>
      </c>
      <c r="F439">
        <v>732.69</v>
      </c>
      <c r="G439" s="2">
        <v>45603</v>
      </c>
      <c r="H439" s="1" t="s">
        <v>45</v>
      </c>
      <c r="I439" s="1" t="s">
        <v>49</v>
      </c>
      <c r="J439">
        <v>732.69</v>
      </c>
      <c r="K439" s="1">
        <v>45597</v>
      </c>
    </row>
    <row r="440" spans="1:11">
      <c r="A440" s="1" t="s">
        <v>490</v>
      </c>
      <c r="B440" s="1" t="s">
        <v>40</v>
      </c>
      <c r="C440" s="1" t="s">
        <v>25</v>
      </c>
      <c r="D440">
        <v>12</v>
      </c>
      <c r="E440">
        <v>16.350000000000001</v>
      </c>
      <c r="F440">
        <v>196.2</v>
      </c>
      <c r="G440" s="2">
        <v>45501</v>
      </c>
      <c r="H440" s="1" t="s">
        <v>45</v>
      </c>
      <c r="I440" s="1" t="s">
        <v>27</v>
      </c>
      <c r="J440">
        <v>196.2</v>
      </c>
      <c r="K440" s="1">
        <v>45474</v>
      </c>
    </row>
    <row r="441" spans="1:11">
      <c r="A441" s="1" t="s">
        <v>491</v>
      </c>
      <c r="B441" s="1" t="s">
        <v>62</v>
      </c>
      <c r="C441" s="1" t="s">
        <v>32</v>
      </c>
      <c r="D441">
        <v>17</v>
      </c>
      <c r="E441">
        <v>934.77</v>
      </c>
      <c r="F441">
        <v>15891.09</v>
      </c>
      <c r="G441" s="2">
        <v>45339</v>
      </c>
      <c r="H441" s="1" t="s">
        <v>26</v>
      </c>
      <c r="I441" s="1" t="s">
        <v>96</v>
      </c>
      <c r="J441">
        <v>15891.09</v>
      </c>
      <c r="K441" s="1">
        <v>45323</v>
      </c>
    </row>
    <row r="442" spans="1:11">
      <c r="A442" s="1" t="s">
        <v>492</v>
      </c>
      <c r="B442" s="1" t="s">
        <v>17</v>
      </c>
      <c r="C442" s="1" t="s">
        <v>18</v>
      </c>
      <c r="D442">
        <v>13</v>
      </c>
      <c r="E442">
        <v>13.56</v>
      </c>
      <c r="F442">
        <v>176.28</v>
      </c>
      <c r="G442" s="2">
        <v>45295</v>
      </c>
      <c r="H442" s="1" t="s">
        <v>26</v>
      </c>
      <c r="I442" s="1" t="s">
        <v>33</v>
      </c>
      <c r="J442">
        <v>176.28</v>
      </c>
      <c r="K442" s="1">
        <v>45292</v>
      </c>
    </row>
    <row r="443" spans="1:11">
      <c r="A443" s="1" t="s">
        <v>493</v>
      </c>
      <c r="B443" s="1" t="s">
        <v>31</v>
      </c>
      <c r="C443" s="1" t="s">
        <v>32</v>
      </c>
      <c r="D443">
        <v>6</v>
      </c>
      <c r="E443">
        <v>194.52</v>
      </c>
      <c r="F443">
        <v>1167.1199999999999</v>
      </c>
      <c r="G443" s="2">
        <v>45548</v>
      </c>
      <c r="H443" s="1" t="s">
        <v>26</v>
      </c>
      <c r="I443" s="1" t="s">
        <v>51</v>
      </c>
      <c r="J443">
        <v>1167.1199999999999</v>
      </c>
      <c r="K443" s="1">
        <v>45536</v>
      </c>
    </row>
    <row r="444" spans="1:11">
      <c r="A444" s="1" t="s">
        <v>494</v>
      </c>
      <c r="B444" s="1" t="s">
        <v>62</v>
      </c>
      <c r="C444" s="1" t="s">
        <v>32</v>
      </c>
      <c r="D444">
        <v>11</v>
      </c>
      <c r="E444">
        <v>968.59</v>
      </c>
      <c r="F444">
        <v>10654.49</v>
      </c>
      <c r="G444" s="2">
        <v>45634</v>
      </c>
      <c r="H444" s="1" t="s">
        <v>45</v>
      </c>
      <c r="I444" s="1" t="s">
        <v>96</v>
      </c>
      <c r="J444">
        <v>10654.49</v>
      </c>
      <c r="K444" s="1">
        <v>45627</v>
      </c>
    </row>
    <row r="445" spans="1:11">
      <c r="A445" s="1" t="s">
        <v>495</v>
      </c>
      <c r="B445" s="1" t="s">
        <v>12</v>
      </c>
      <c r="C445" s="1" t="s">
        <v>13</v>
      </c>
      <c r="D445">
        <v>13</v>
      </c>
      <c r="E445">
        <v>154.6</v>
      </c>
      <c r="F445">
        <v>2009.8</v>
      </c>
      <c r="G445" s="2">
        <v>45509</v>
      </c>
      <c r="H445" s="1" t="s">
        <v>45</v>
      </c>
      <c r="I445" s="1" t="s">
        <v>51</v>
      </c>
      <c r="J445">
        <v>2009.8</v>
      </c>
      <c r="K445" s="1">
        <v>45505</v>
      </c>
    </row>
    <row r="446" spans="1:11">
      <c r="A446" s="1" t="s">
        <v>496</v>
      </c>
      <c r="B446" s="1" t="s">
        <v>43</v>
      </c>
      <c r="C446" s="1" t="s">
        <v>13</v>
      </c>
      <c r="D446">
        <v>10</v>
      </c>
      <c r="E446">
        <v>114.7</v>
      </c>
      <c r="F446">
        <v>1147</v>
      </c>
      <c r="G446" s="2">
        <v>45457</v>
      </c>
      <c r="H446" s="1" t="s">
        <v>19</v>
      </c>
      <c r="I446" s="1" t="s">
        <v>135</v>
      </c>
      <c r="J446">
        <v>1147</v>
      </c>
      <c r="K446" s="1">
        <v>45444</v>
      </c>
    </row>
    <row r="447" spans="1:11">
      <c r="A447" s="1" t="s">
        <v>497</v>
      </c>
      <c r="B447" s="1" t="s">
        <v>62</v>
      </c>
      <c r="C447" s="1" t="s">
        <v>32</v>
      </c>
      <c r="D447">
        <v>1</v>
      </c>
      <c r="E447">
        <v>953.39</v>
      </c>
      <c r="F447">
        <v>953.39</v>
      </c>
      <c r="G447" s="2">
        <v>45632</v>
      </c>
      <c r="H447" s="1" t="s">
        <v>35</v>
      </c>
      <c r="I447" s="1" t="s">
        <v>85</v>
      </c>
      <c r="J447">
        <v>953.39</v>
      </c>
      <c r="K447" s="1">
        <v>45627</v>
      </c>
    </row>
    <row r="448" spans="1:11">
      <c r="A448" s="1" t="s">
        <v>498</v>
      </c>
      <c r="B448" s="1" t="s">
        <v>21</v>
      </c>
      <c r="C448" s="1" t="s">
        <v>22</v>
      </c>
      <c r="D448">
        <v>1</v>
      </c>
      <c r="E448">
        <v>6738.19</v>
      </c>
      <c r="F448">
        <v>6738.19</v>
      </c>
      <c r="G448" s="2">
        <v>45583</v>
      </c>
      <c r="H448" s="1" t="s">
        <v>35</v>
      </c>
      <c r="I448" s="1" t="s">
        <v>15</v>
      </c>
      <c r="J448">
        <v>6738.19</v>
      </c>
      <c r="K448" s="1">
        <v>45566</v>
      </c>
    </row>
    <row r="449" spans="1:11">
      <c r="A449" s="1" t="s">
        <v>499</v>
      </c>
      <c r="B449" s="1" t="s">
        <v>24</v>
      </c>
      <c r="C449" s="1" t="s">
        <v>25</v>
      </c>
      <c r="D449">
        <v>7</v>
      </c>
      <c r="E449">
        <v>2.96</v>
      </c>
      <c r="F449">
        <v>20.72</v>
      </c>
      <c r="G449" s="2">
        <v>45436</v>
      </c>
      <c r="H449" s="1" t="s">
        <v>14</v>
      </c>
      <c r="I449" s="1" t="s">
        <v>60</v>
      </c>
      <c r="J449">
        <v>20.72</v>
      </c>
      <c r="K449" s="1">
        <v>45413</v>
      </c>
    </row>
    <row r="450" spans="1:11">
      <c r="A450" s="1" t="s">
        <v>500</v>
      </c>
      <c r="B450" s="1" t="s">
        <v>56</v>
      </c>
      <c r="C450" s="1" t="s">
        <v>57</v>
      </c>
      <c r="D450">
        <v>2</v>
      </c>
      <c r="E450">
        <v>39</v>
      </c>
      <c r="F450">
        <v>78</v>
      </c>
      <c r="G450" s="2">
        <v>45363</v>
      </c>
      <c r="H450" s="1" t="s">
        <v>19</v>
      </c>
      <c r="I450" s="1" t="s">
        <v>87</v>
      </c>
      <c r="J450">
        <v>78</v>
      </c>
      <c r="K450" s="1">
        <v>45352</v>
      </c>
    </row>
    <row r="451" spans="1:11">
      <c r="A451" s="1" t="s">
        <v>501</v>
      </c>
      <c r="B451" s="1" t="s">
        <v>21</v>
      </c>
      <c r="C451" s="1" t="s">
        <v>22</v>
      </c>
      <c r="D451">
        <v>1</v>
      </c>
      <c r="E451">
        <v>5047.01</v>
      </c>
      <c r="F451">
        <v>5047.01</v>
      </c>
      <c r="G451" s="2">
        <v>45556</v>
      </c>
      <c r="H451" s="1" t="s">
        <v>35</v>
      </c>
      <c r="I451" s="1" t="s">
        <v>51</v>
      </c>
      <c r="J451">
        <v>5047.01</v>
      </c>
      <c r="K451" s="1">
        <v>45536</v>
      </c>
    </row>
    <row r="452" spans="1:11">
      <c r="A452" s="1" t="s">
        <v>502</v>
      </c>
      <c r="B452" s="1" t="s">
        <v>56</v>
      </c>
      <c r="C452" s="1" t="s">
        <v>57</v>
      </c>
      <c r="D452">
        <v>6</v>
      </c>
      <c r="E452">
        <v>29.86</v>
      </c>
      <c r="F452">
        <v>179.16</v>
      </c>
      <c r="G452" s="2">
        <v>45328</v>
      </c>
      <c r="H452" s="1" t="s">
        <v>35</v>
      </c>
      <c r="I452" s="1" t="s">
        <v>58</v>
      </c>
      <c r="J452">
        <v>179.16</v>
      </c>
      <c r="K452" s="1">
        <v>45323</v>
      </c>
    </row>
    <row r="453" spans="1:11">
      <c r="A453" s="1" t="s">
        <v>503</v>
      </c>
      <c r="B453" s="1" t="s">
        <v>31</v>
      </c>
      <c r="C453" s="1" t="s">
        <v>32</v>
      </c>
      <c r="D453">
        <v>18</v>
      </c>
      <c r="E453">
        <v>152.01</v>
      </c>
      <c r="F453">
        <v>2736.18</v>
      </c>
      <c r="G453" s="2">
        <v>45373</v>
      </c>
      <c r="H453" s="1" t="s">
        <v>45</v>
      </c>
      <c r="I453" s="1" t="s">
        <v>96</v>
      </c>
      <c r="J453">
        <v>2736.18</v>
      </c>
      <c r="K453" s="1">
        <v>45352</v>
      </c>
    </row>
    <row r="454" spans="1:11">
      <c r="A454" s="1" t="s">
        <v>504</v>
      </c>
      <c r="B454" s="1" t="s">
        <v>17</v>
      </c>
      <c r="C454" s="1" t="s">
        <v>18</v>
      </c>
      <c r="D454">
        <v>6</v>
      </c>
      <c r="E454">
        <v>8.6</v>
      </c>
      <c r="F454">
        <v>51.6</v>
      </c>
      <c r="G454" s="2">
        <v>45538</v>
      </c>
      <c r="H454" s="1" t="s">
        <v>26</v>
      </c>
      <c r="I454" s="1" t="s">
        <v>98</v>
      </c>
      <c r="J454">
        <v>51.6</v>
      </c>
      <c r="K454" s="1">
        <v>45536</v>
      </c>
    </row>
    <row r="455" spans="1:11">
      <c r="A455" s="1" t="s">
        <v>505</v>
      </c>
      <c r="B455" s="1" t="s">
        <v>17</v>
      </c>
      <c r="C455" s="1" t="s">
        <v>18</v>
      </c>
      <c r="D455">
        <v>16</v>
      </c>
      <c r="E455">
        <v>5.35</v>
      </c>
      <c r="F455">
        <v>85.6</v>
      </c>
      <c r="G455" s="2">
        <v>45504</v>
      </c>
      <c r="H455" s="1" t="s">
        <v>19</v>
      </c>
      <c r="I455" s="1" t="s">
        <v>27</v>
      </c>
      <c r="J455">
        <v>85.6</v>
      </c>
      <c r="K455" s="1">
        <v>45474</v>
      </c>
    </row>
    <row r="456" spans="1:11">
      <c r="A456" s="1" t="s">
        <v>506</v>
      </c>
      <c r="B456" s="1" t="s">
        <v>56</v>
      </c>
      <c r="C456" s="1" t="s">
        <v>57</v>
      </c>
      <c r="D456">
        <v>4</v>
      </c>
      <c r="E456">
        <v>30.47</v>
      </c>
      <c r="F456">
        <v>121.88</v>
      </c>
      <c r="G456" s="2">
        <v>45392</v>
      </c>
      <c r="H456" s="1" t="s">
        <v>19</v>
      </c>
      <c r="I456" s="1" t="s">
        <v>36</v>
      </c>
      <c r="J456">
        <v>121.88</v>
      </c>
      <c r="K456" s="1">
        <v>45383</v>
      </c>
    </row>
    <row r="457" spans="1:11">
      <c r="A457" s="1" t="s">
        <v>507</v>
      </c>
      <c r="B457" s="1" t="s">
        <v>56</v>
      </c>
      <c r="C457" s="1" t="s">
        <v>57</v>
      </c>
      <c r="D457">
        <v>13</v>
      </c>
      <c r="E457">
        <v>42.31</v>
      </c>
      <c r="F457">
        <v>550.03</v>
      </c>
      <c r="G457" s="2">
        <v>45485</v>
      </c>
      <c r="H457" s="1" t="s">
        <v>26</v>
      </c>
      <c r="I457" s="1" t="s">
        <v>29</v>
      </c>
      <c r="J457">
        <v>550.03</v>
      </c>
      <c r="K457" s="1">
        <v>45474</v>
      </c>
    </row>
    <row r="458" spans="1:11">
      <c r="A458" s="1" t="s">
        <v>508</v>
      </c>
      <c r="B458" s="1" t="s">
        <v>54</v>
      </c>
      <c r="C458" s="1" t="s">
        <v>32</v>
      </c>
      <c r="D458">
        <v>18</v>
      </c>
      <c r="E458">
        <v>255.8</v>
      </c>
      <c r="F458">
        <v>4604.3999999999996</v>
      </c>
      <c r="G458" s="2">
        <v>45574</v>
      </c>
      <c r="H458" s="1" t="s">
        <v>14</v>
      </c>
      <c r="I458" s="1" t="s">
        <v>38</v>
      </c>
      <c r="J458">
        <v>4604.3999999999996</v>
      </c>
      <c r="K458" s="1">
        <v>45566</v>
      </c>
    </row>
    <row r="459" spans="1:11">
      <c r="A459" s="1" t="s">
        <v>509</v>
      </c>
      <c r="B459" s="1" t="s">
        <v>31</v>
      </c>
      <c r="C459" s="1" t="s">
        <v>32</v>
      </c>
      <c r="D459">
        <v>20</v>
      </c>
      <c r="E459">
        <v>205.73</v>
      </c>
      <c r="F459">
        <v>4114.6000000000004</v>
      </c>
      <c r="G459" s="2">
        <v>45447</v>
      </c>
      <c r="H459" s="1" t="s">
        <v>26</v>
      </c>
      <c r="I459" s="1" t="s">
        <v>60</v>
      </c>
      <c r="J459">
        <v>4114.6000000000004</v>
      </c>
      <c r="K459" s="1">
        <v>45444</v>
      </c>
    </row>
    <row r="460" spans="1:11">
      <c r="A460" s="1" t="s">
        <v>510</v>
      </c>
      <c r="B460" s="1" t="s">
        <v>21</v>
      </c>
      <c r="C460" s="1" t="s">
        <v>22</v>
      </c>
      <c r="D460">
        <v>1</v>
      </c>
      <c r="E460">
        <v>6685.33</v>
      </c>
      <c r="F460">
        <v>6685.33</v>
      </c>
      <c r="G460" s="2">
        <v>45405</v>
      </c>
      <c r="H460" s="1" t="s">
        <v>14</v>
      </c>
      <c r="I460" s="1" t="s">
        <v>135</v>
      </c>
      <c r="J460">
        <v>6685.33</v>
      </c>
      <c r="K460" s="1">
        <v>45383</v>
      </c>
    </row>
    <row r="461" spans="1:11">
      <c r="A461" s="1" t="s">
        <v>511</v>
      </c>
      <c r="B461" s="1" t="s">
        <v>54</v>
      </c>
      <c r="C461" s="1" t="s">
        <v>32</v>
      </c>
      <c r="D461">
        <v>11</v>
      </c>
      <c r="E461">
        <v>282.5</v>
      </c>
      <c r="F461">
        <v>3107.5</v>
      </c>
      <c r="G461" s="2">
        <v>45384</v>
      </c>
      <c r="H461" s="1" t="s">
        <v>19</v>
      </c>
      <c r="I461" s="1" t="s">
        <v>98</v>
      </c>
      <c r="J461">
        <v>3107.5</v>
      </c>
      <c r="K461" s="1">
        <v>45383</v>
      </c>
    </row>
    <row r="462" spans="1:11">
      <c r="A462" s="1" t="s">
        <v>512</v>
      </c>
      <c r="B462" s="1" t="s">
        <v>40</v>
      </c>
      <c r="C462" s="1" t="s">
        <v>25</v>
      </c>
      <c r="D462">
        <v>14</v>
      </c>
      <c r="E462">
        <v>11.02</v>
      </c>
      <c r="F462">
        <v>154.28</v>
      </c>
      <c r="G462" s="2">
        <v>45346</v>
      </c>
      <c r="H462" s="1" t="s">
        <v>14</v>
      </c>
      <c r="I462" s="1" t="s">
        <v>85</v>
      </c>
      <c r="J462">
        <v>154.28</v>
      </c>
      <c r="K462" s="1">
        <v>45323</v>
      </c>
    </row>
    <row r="463" spans="1:11">
      <c r="A463" s="1" t="s">
        <v>513</v>
      </c>
      <c r="B463" s="1" t="s">
        <v>56</v>
      </c>
      <c r="C463" s="1" t="s">
        <v>57</v>
      </c>
      <c r="D463">
        <v>17</v>
      </c>
      <c r="E463">
        <v>34.659999999999997</v>
      </c>
      <c r="F463">
        <v>589.22</v>
      </c>
      <c r="G463" s="2">
        <v>45304</v>
      </c>
      <c r="H463" s="1" t="s">
        <v>14</v>
      </c>
      <c r="I463" s="1" t="s">
        <v>49</v>
      </c>
      <c r="J463">
        <v>589.22</v>
      </c>
      <c r="K463" s="1">
        <v>45292</v>
      </c>
    </row>
    <row r="464" spans="1:11">
      <c r="A464" s="1" t="s">
        <v>514</v>
      </c>
      <c r="B464" s="1" t="s">
        <v>24</v>
      </c>
      <c r="C464" s="1" t="s">
        <v>25</v>
      </c>
      <c r="D464">
        <v>7</v>
      </c>
      <c r="E464">
        <v>1.42</v>
      </c>
      <c r="F464">
        <v>9.94</v>
      </c>
      <c r="G464" s="2">
        <v>45447</v>
      </c>
      <c r="H464" s="1" t="s">
        <v>19</v>
      </c>
      <c r="I464" s="1" t="s">
        <v>81</v>
      </c>
      <c r="J464">
        <v>9.94</v>
      </c>
      <c r="K464" s="1">
        <v>45444</v>
      </c>
    </row>
    <row r="465" spans="1:11">
      <c r="A465" s="1" t="s">
        <v>515</v>
      </c>
      <c r="B465" s="1" t="s">
        <v>24</v>
      </c>
      <c r="C465" s="1" t="s">
        <v>25</v>
      </c>
      <c r="D465">
        <v>3</v>
      </c>
      <c r="E465">
        <v>2.98</v>
      </c>
      <c r="F465">
        <v>8.94</v>
      </c>
      <c r="G465" s="2">
        <v>45311</v>
      </c>
      <c r="H465" s="1" t="s">
        <v>14</v>
      </c>
      <c r="I465" s="1" t="s">
        <v>41</v>
      </c>
      <c r="J465">
        <v>8.94</v>
      </c>
      <c r="K465" s="1">
        <v>45292</v>
      </c>
    </row>
    <row r="466" spans="1:11">
      <c r="A466" s="1" t="s">
        <v>516</v>
      </c>
      <c r="B466" s="1" t="s">
        <v>17</v>
      </c>
      <c r="C466" s="1" t="s">
        <v>18</v>
      </c>
      <c r="D466">
        <v>10</v>
      </c>
      <c r="E466">
        <v>9.52</v>
      </c>
      <c r="F466">
        <v>95.2</v>
      </c>
      <c r="G466" s="2">
        <v>45491</v>
      </c>
      <c r="H466" s="1" t="s">
        <v>14</v>
      </c>
      <c r="I466" s="1" t="s">
        <v>60</v>
      </c>
      <c r="J466">
        <v>95.2</v>
      </c>
      <c r="K466" s="1">
        <v>45474</v>
      </c>
    </row>
    <row r="467" spans="1:11">
      <c r="A467" s="1" t="s">
        <v>517</v>
      </c>
      <c r="B467" s="1" t="s">
        <v>12</v>
      </c>
      <c r="C467" s="1" t="s">
        <v>13</v>
      </c>
      <c r="D467">
        <v>7</v>
      </c>
      <c r="E467">
        <v>185.08</v>
      </c>
      <c r="F467">
        <v>1295.56</v>
      </c>
      <c r="G467" s="2">
        <v>45302</v>
      </c>
      <c r="H467" s="1" t="s">
        <v>45</v>
      </c>
      <c r="I467" s="1" t="s">
        <v>81</v>
      </c>
      <c r="J467">
        <v>1295.56</v>
      </c>
      <c r="K467" s="1">
        <v>45292</v>
      </c>
    </row>
    <row r="468" spans="1:11">
      <c r="A468" s="1" t="s">
        <v>518</v>
      </c>
      <c r="B468" s="1" t="s">
        <v>40</v>
      </c>
      <c r="C468" s="1" t="s">
        <v>25</v>
      </c>
      <c r="D468">
        <v>6</v>
      </c>
      <c r="E468">
        <v>17.63</v>
      </c>
      <c r="F468">
        <v>105.78</v>
      </c>
      <c r="G468" s="2">
        <v>45455</v>
      </c>
      <c r="H468" s="1" t="s">
        <v>19</v>
      </c>
      <c r="I468" s="1" t="s">
        <v>36</v>
      </c>
      <c r="J468">
        <v>105.78</v>
      </c>
      <c r="K468" s="1">
        <v>45444</v>
      </c>
    </row>
    <row r="469" spans="1:11">
      <c r="A469" s="1" t="s">
        <v>519</v>
      </c>
      <c r="B469" s="1" t="s">
        <v>54</v>
      </c>
      <c r="C469" s="1" t="s">
        <v>32</v>
      </c>
      <c r="D469">
        <v>17</v>
      </c>
      <c r="E469">
        <v>202.33</v>
      </c>
      <c r="F469">
        <v>3439.61</v>
      </c>
      <c r="G469" s="2">
        <v>45330</v>
      </c>
      <c r="H469" s="1" t="s">
        <v>45</v>
      </c>
      <c r="I469" s="1" t="s">
        <v>47</v>
      </c>
      <c r="J469">
        <v>3439.61</v>
      </c>
      <c r="K469" s="1">
        <v>45323</v>
      </c>
    </row>
    <row r="470" spans="1:11">
      <c r="A470" s="1" t="s">
        <v>520</v>
      </c>
      <c r="B470" s="1" t="s">
        <v>12</v>
      </c>
      <c r="C470" s="1" t="s">
        <v>13</v>
      </c>
      <c r="D470">
        <v>11</v>
      </c>
      <c r="E470">
        <v>150.66</v>
      </c>
      <c r="F470">
        <v>1657.26</v>
      </c>
      <c r="G470" s="2">
        <v>45358</v>
      </c>
      <c r="H470" s="1" t="s">
        <v>35</v>
      </c>
      <c r="I470" s="1" t="s">
        <v>81</v>
      </c>
      <c r="J470">
        <v>1657.26</v>
      </c>
      <c r="K470" s="1">
        <v>45352</v>
      </c>
    </row>
    <row r="471" spans="1:11">
      <c r="A471" s="1" t="s">
        <v>521</v>
      </c>
      <c r="B471" s="1" t="s">
        <v>17</v>
      </c>
      <c r="C471" s="1" t="s">
        <v>18</v>
      </c>
      <c r="D471">
        <v>10</v>
      </c>
      <c r="E471">
        <v>14.35</v>
      </c>
      <c r="F471">
        <v>143.5</v>
      </c>
      <c r="G471" s="2">
        <v>45512</v>
      </c>
      <c r="H471" s="1" t="s">
        <v>35</v>
      </c>
      <c r="I471" s="1" t="s">
        <v>49</v>
      </c>
      <c r="J471">
        <v>143.5</v>
      </c>
      <c r="K471" s="1">
        <v>45505</v>
      </c>
    </row>
    <row r="472" spans="1:11">
      <c r="A472" s="1" t="s">
        <v>522</v>
      </c>
      <c r="B472" s="1" t="s">
        <v>40</v>
      </c>
      <c r="C472" s="1" t="s">
        <v>25</v>
      </c>
      <c r="D472">
        <v>15</v>
      </c>
      <c r="E472">
        <v>18.14</v>
      </c>
      <c r="F472">
        <v>272.10000000000002</v>
      </c>
      <c r="G472" s="2">
        <v>45493</v>
      </c>
      <c r="H472" s="1" t="s">
        <v>19</v>
      </c>
      <c r="I472" s="1" t="s">
        <v>36</v>
      </c>
      <c r="J472">
        <v>272.10000000000002</v>
      </c>
      <c r="K472" s="1">
        <v>45474</v>
      </c>
    </row>
    <row r="473" spans="1:11">
      <c r="A473" s="1" t="s">
        <v>523</v>
      </c>
      <c r="B473" s="1" t="s">
        <v>62</v>
      </c>
      <c r="C473" s="1" t="s">
        <v>32</v>
      </c>
      <c r="D473">
        <v>18</v>
      </c>
      <c r="E473">
        <v>840.57</v>
      </c>
      <c r="F473">
        <v>15130.26</v>
      </c>
      <c r="G473" s="2">
        <v>45356</v>
      </c>
      <c r="H473" s="1" t="s">
        <v>14</v>
      </c>
      <c r="I473" s="1" t="s">
        <v>98</v>
      </c>
      <c r="J473">
        <v>15130.26</v>
      </c>
      <c r="K473" s="1">
        <v>45352</v>
      </c>
    </row>
    <row r="474" spans="1:11">
      <c r="A474" s="1" t="s">
        <v>524</v>
      </c>
      <c r="B474" s="1" t="s">
        <v>21</v>
      </c>
      <c r="C474" s="1" t="s">
        <v>22</v>
      </c>
      <c r="D474">
        <v>1</v>
      </c>
      <c r="E474">
        <v>5151.72</v>
      </c>
      <c r="F474">
        <v>5151.72</v>
      </c>
      <c r="G474" s="2">
        <v>45502</v>
      </c>
      <c r="H474" s="1" t="s">
        <v>14</v>
      </c>
      <c r="I474" s="1" t="s">
        <v>66</v>
      </c>
      <c r="J474">
        <v>5151.72</v>
      </c>
      <c r="K474" s="1">
        <v>45474</v>
      </c>
    </row>
    <row r="475" spans="1:11">
      <c r="A475" s="1" t="s">
        <v>525</v>
      </c>
      <c r="B475" s="1" t="s">
        <v>24</v>
      </c>
      <c r="C475" s="1" t="s">
        <v>25</v>
      </c>
      <c r="D475">
        <v>16</v>
      </c>
      <c r="E475">
        <v>1.81</v>
      </c>
      <c r="F475">
        <v>28.96</v>
      </c>
      <c r="G475" s="2">
        <v>45332</v>
      </c>
      <c r="H475" s="1" t="s">
        <v>14</v>
      </c>
      <c r="I475" s="1" t="s">
        <v>33</v>
      </c>
      <c r="J475">
        <v>28.96</v>
      </c>
      <c r="K475" s="1">
        <v>45323</v>
      </c>
    </row>
    <row r="476" spans="1:11">
      <c r="A476" s="1" t="s">
        <v>526</v>
      </c>
      <c r="B476" s="1" t="s">
        <v>40</v>
      </c>
      <c r="C476" s="1" t="s">
        <v>25</v>
      </c>
      <c r="D476">
        <v>16</v>
      </c>
      <c r="E476">
        <v>13.12</v>
      </c>
      <c r="F476">
        <v>209.92</v>
      </c>
      <c r="G476" s="2">
        <v>45549</v>
      </c>
      <c r="H476" s="1" t="s">
        <v>19</v>
      </c>
      <c r="I476" s="1" t="s">
        <v>36</v>
      </c>
      <c r="J476">
        <v>209.92</v>
      </c>
      <c r="K476" s="1">
        <v>45536</v>
      </c>
    </row>
    <row r="477" spans="1:11">
      <c r="A477" s="1" t="s">
        <v>527</v>
      </c>
      <c r="B477" s="1" t="s">
        <v>21</v>
      </c>
      <c r="C477" s="1" t="s">
        <v>22</v>
      </c>
      <c r="D477">
        <v>1</v>
      </c>
      <c r="E477">
        <v>5159.92</v>
      </c>
      <c r="F477">
        <v>5159.92</v>
      </c>
      <c r="G477" s="2">
        <v>45576</v>
      </c>
      <c r="H477" s="1" t="s">
        <v>14</v>
      </c>
      <c r="I477" s="1" t="s">
        <v>51</v>
      </c>
      <c r="J477">
        <v>5159.92</v>
      </c>
      <c r="K477" s="1">
        <v>45566</v>
      </c>
    </row>
    <row r="478" spans="1:11">
      <c r="A478" s="1" t="s">
        <v>528</v>
      </c>
      <c r="B478" s="1" t="s">
        <v>56</v>
      </c>
      <c r="C478" s="1" t="s">
        <v>57</v>
      </c>
      <c r="D478">
        <v>15</v>
      </c>
      <c r="E478">
        <v>21.66</v>
      </c>
      <c r="F478">
        <v>324.89999999999998</v>
      </c>
      <c r="G478" s="2">
        <v>45640</v>
      </c>
      <c r="H478" s="1" t="s">
        <v>35</v>
      </c>
      <c r="I478" s="1" t="s">
        <v>36</v>
      </c>
      <c r="J478">
        <v>324.89999999999998</v>
      </c>
      <c r="K478" s="1">
        <v>45627</v>
      </c>
    </row>
    <row r="479" spans="1:11">
      <c r="A479" s="1" t="s">
        <v>529</v>
      </c>
      <c r="B479" s="1" t="s">
        <v>40</v>
      </c>
      <c r="C479" s="1" t="s">
        <v>25</v>
      </c>
      <c r="D479">
        <v>6</v>
      </c>
      <c r="E479">
        <v>16.09</v>
      </c>
      <c r="F479">
        <v>96.54</v>
      </c>
      <c r="G479" s="2">
        <v>45514</v>
      </c>
      <c r="H479" s="1" t="s">
        <v>35</v>
      </c>
      <c r="I479" s="1" t="s">
        <v>41</v>
      </c>
      <c r="J479">
        <v>96.54</v>
      </c>
      <c r="K479" s="1">
        <v>45505</v>
      </c>
    </row>
    <row r="480" spans="1:11">
      <c r="A480" s="1" t="s">
        <v>530</v>
      </c>
      <c r="B480" s="1" t="s">
        <v>17</v>
      </c>
      <c r="C480" s="1" t="s">
        <v>18</v>
      </c>
      <c r="D480">
        <v>2</v>
      </c>
      <c r="E480">
        <v>14.14</v>
      </c>
      <c r="F480">
        <v>28.28</v>
      </c>
      <c r="G480" s="2">
        <v>45652</v>
      </c>
      <c r="H480" s="1" t="s">
        <v>45</v>
      </c>
      <c r="I480" s="1" t="s">
        <v>29</v>
      </c>
      <c r="J480">
        <v>28.28</v>
      </c>
      <c r="K480" s="1">
        <v>45627</v>
      </c>
    </row>
    <row r="481" spans="1:11">
      <c r="A481" s="1" t="s">
        <v>531</v>
      </c>
      <c r="B481" s="1" t="s">
        <v>40</v>
      </c>
      <c r="C481" s="1" t="s">
        <v>25</v>
      </c>
      <c r="D481">
        <v>6</v>
      </c>
      <c r="E481">
        <v>12.06</v>
      </c>
      <c r="F481">
        <v>72.36</v>
      </c>
      <c r="G481" s="2">
        <v>45501</v>
      </c>
      <c r="H481" s="1" t="s">
        <v>19</v>
      </c>
      <c r="I481" s="1" t="s">
        <v>47</v>
      </c>
      <c r="J481">
        <v>72.36</v>
      </c>
      <c r="K481" s="1">
        <v>45474</v>
      </c>
    </row>
    <row r="482" spans="1:11">
      <c r="A482" s="1" t="s">
        <v>532</v>
      </c>
      <c r="B482" s="1" t="s">
        <v>17</v>
      </c>
      <c r="C482" s="1" t="s">
        <v>18</v>
      </c>
      <c r="D482">
        <v>6</v>
      </c>
      <c r="E482">
        <v>7</v>
      </c>
      <c r="F482">
        <v>42</v>
      </c>
      <c r="G482" s="2">
        <v>45424</v>
      </c>
      <c r="H482" s="1" t="s">
        <v>14</v>
      </c>
      <c r="I482" s="1" t="s">
        <v>71</v>
      </c>
      <c r="J482">
        <v>42</v>
      </c>
      <c r="K482" s="1">
        <v>45413</v>
      </c>
    </row>
    <row r="483" spans="1:11">
      <c r="A483" s="1" t="s">
        <v>533</v>
      </c>
      <c r="B483" s="1" t="s">
        <v>31</v>
      </c>
      <c r="C483" s="1" t="s">
        <v>32</v>
      </c>
      <c r="D483">
        <v>16</v>
      </c>
      <c r="E483">
        <v>260.2</v>
      </c>
      <c r="F483">
        <v>4163.2</v>
      </c>
      <c r="G483" s="2">
        <v>45537</v>
      </c>
      <c r="H483" s="1" t="s">
        <v>14</v>
      </c>
      <c r="I483" s="1" t="s">
        <v>47</v>
      </c>
      <c r="J483">
        <v>4163.2</v>
      </c>
      <c r="K483" s="1">
        <v>45536</v>
      </c>
    </row>
    <row r="484" spans="1:11">
      <c r="A484" s="1" t="s">
        <v>534</v>
      </c>
      <c r="B484" s="1" t="s">
        <v>54</v>
      </c>
      <c r="C484" s="1" t="s">
        <v>32</v>
      </c>
      <c r="D484">
        <v>7</v>
      </c>
      <c r="E484">
        <v>348.06</v>
      </c>
      <c r="F484">
        <v>2436.42</v>
      </c>
      <c r="G484" s="2">
        <v>45407</v>
      </c>
      <c r="H484" s="1" t="s">
        <v>45</v>
      </c>
      <c r="I484" s="1" t="s">
        <v>36</v>
      </c>
      <c r="J484">
        <v>2436.42</v>
      </c>
      <c r="K484" s="1">
        <v>45383</v>
      </c>
    </row>
    <row r="485" spans="1:11">
      <c r="A485" s="1" t="s">
        <v>535</v>
      </c>
      <c r="B485" s="1" t="s">
        <v>40</v>
      </c>
      <c r="C485" s="1" t="s">
        <v>25</v>
      </c>
      <c r="D485">
        <v>10</v>
      </c>
      <c r="E485">
        <v>18.07</v>
      </c>
      <c r="F485">
        <v>180.7</v>
      </c>
      <c r="G485" s="2">
        <v>45402</v>
      </c>
      <c r="H485" s="1" t="s">
        <v>14</v>
      </c>
      <c r="I485" s="1" t="s">
        <v>58</v>
      </c>
      <c r="J485">
        <v>180.7</v>
      </c>
      <c r="K485" s="1">
        <v>45383</v>
      </c>
    </row>
    <row r="486" spans="1:11">
      <c r="A486" s="1" t="s">
        <v>536</v>
      </c>
      <c r="B486" s="1" t="s">
        <v>31</v>
      </c>
      <c r="C486" s="1" t="s">
        <v>32</v>
      </c>
      <c r="D486">
        <v>16</v>
      </c>
      <c r="E486">
        <v>200.15</v>
      </c>
      <c r="F486">
        <v>3202.4</v>
      </c>
      <c r="G486" s="2">
        <v>45578</v>
      </c>
      <c r="H486" s="1" t="s">
        <v>35</v>
      </c>
      <c r="I486" s="1" t="s">
        <v>66</v>
      </c>
      <c r="J486">
        <v>3202.4</v>
      </c>
      <c r="K486" s="1">
        <v>45566</v>
      </c>
    </row>
    <row r="487" spans="1:11">
      <c r="A487" s="1" t="s">
        <v>537</v>
      </c>
      <c r="B487" s="1" t="s">
        <v>56</v>
      </c>
      <c r="C487" s="1" t="s">
        <v>57</v>
      </c>
      <c r="D487">
        <v>19</v>
      </c>
      <c r="E487">
        <v>27.44</v>
      </c>
      <c r="F487">
        <v>521.36</v>
      </c>
      <c r="G487" s="2">
        <v>45459</v>
      </c>
      <c r="H487" s="1" t="s">
        <v>45</v>
      </c>
      <c r="I487" s="1" t="s">
        <v>81</v>
      </c>
      <c r="J487">
        <v>521.36</v>
      </c>
      <c r="K487" s="1">
        <v>45444</v>
      </c>
    </row>
    <row r="488" spans="1:11">
      <c r="A488" s="1" t="s">
        <v>538</v>
      </c>
      <c r="B488" s="1" t="s">
        <v>24</v>
      </c>
      <c r="C488" s="1" t="s">
        <v>25</v>
      </c>
      <c r="D488">
        <v>12</v>
      </c>
      <c r="E488">
        <v>1.24</v>
      </c>
      <c r="F488">
        <v>14.88</v>
      </c>
      <c r="G488" s="2">
        <v>45531</v>
      </c>
      <c r="H488" s="1" t="s">
        <v>35</v>
      </c>
      <c r="I488" s="1" t="s">
        <v>60</v>
      </c>
      <c r="J488">
        <v>14.88</v>
      </c>
      <c r="K488" s="1">
        <v>45505</v>
      </c>
    </row>
    <row r="489" spans="1:11">
      <c r="A489" s="1" t="s">
        <v>539</v>
      </c>
      <c r="B489" s="1" t="s">
        <v>62</v>
      </c>
      <c r="C489" s="1" t="s">
        <v>32</v>
      </c>
      <c r="D489">
        <v>18</v>
      </c>
      <c r="E489">
        <v>969.94</v>
      </c>
      <c r="F489">
        <v>17458.919999999998</v>
      </c>
      <c r="G489" s="2">
        <v>45449</v>
      </c>
      <c r="H489" s="1" t="s">
        <v>14</v>
      </c>
      <c r="I489" s="1" t="s">
        <v>47</v>
      </c>
      <c r="J489">
        <v>17458.919999999998</v>
      </c>
      <c r="K489" s="1">
        <v>45444</v>
      </c>
    </row>
    <row r="490" spans="1:11">
      <c r="A490" s="1" t="s">
        <v>540</v>
      </c>
      <c r="B490" s="1" t="s">
        <v>62</v>
      </c>
      <c r="C490" s="1" t="s">
        <v>32</v>
      </c>
      <c r="D490">
        <v>15</v>
      </c>
      <c r="E490">
        <v>836.99</v>
      </c>
      <c r="F490">
        <v>12554.85</v>
      </c>
      <c r="G490" s="2">
        <v>45644</v>
      </c>
      <c r="H490" s="1" t="s">
        <v>19</v>
      </c>
      <c r="I490" s="1" t="s">
        <v>47</v>
      </c>
      <c r="J490">
        <v>12554.85</v>
      </c>
      <c r="K490" s="1">
        <v>45627</v>
      </c>
    </row>
    <row r="491" spans="1:11">
      <c r="A491" s="1" t="s">
        <v>541</v>
      </c>
      <c r="B491" s="1" t="s">
        <v>40</v>
      </c>
      <c r="C491" s="1" t="s">
        <v>25</v>
      </c>
      <c r="D491">
        <v>9</v>
      </c>
      <c r="E491">
        <v>13.57</v>
      </c>
      <c r="F491">
        <v>122.13</v>
      </c>
      <c r="G491" s="2">
        <v>45440</v>
      </c>
      <c r="H491" s="1" t="s">
        <v>45</v>
      </c>
      <c r="I491" s="1" t="s">
        <v>66</v>
      </c>
      <c r="J491">
        <v>122.13</v>
      </c>
      <c r="K491" s="1">
        <v>45413</v>
      </c>
    </row>
    <row r="492" spans="1:11">
      <c r="A492" s="1" t="s">
        <v>542</v>
      </c>
      <c r="B492" s="1" t="s">
        <v>56</v>
      </c>
      <c r="C492" s="1" t="s">
        <v>57</v>
      </c>
      <c r="D492">
        <v>5</v>
      </c>
      <c r="E492">
        <v>20.67</v>
      </c>
      <c r="F492">
        <v>103.35</v>
      </c>
      <c r="G492" s="2">
        <v>45400</v>
      </c>
      <c r="H492" s="1" t="s">
        <v>45</v>
      </c>
      <c r="I492" s="1" t="s">
        <v>38</v>
      </c>
      <c r="J492">
        <v>103.35</v>
      </c>
      <c r="K492" s="1">
        <v>45383</v>
      </c>
    </row>
    <row r="493" spans="1:11">
      <c r="A493" s="1" t="s">
        <v>543</v>
      </c>
      <c r="B493" s="1" t="s">
        <v>56</v>
      </c>
      <c r="C493" s="1" t="s">
        <v>57</v>
      </c>
      <c r="D493">
        <v>16</v>
      </c>
      <c r="E493">
        <v>28.97</v>
      </c>
      <c r="F493">
        <v>463.52</v>
      </c>
      <c r="G493" s="2">
        <v>45605</v>
      </c>
      <c r="H493" s="1" t="s">
        <v>35</v>
      </c>
      <c r="I493" s="1" t="s">
        <v>81</v>
      </c>
      <c r="J493">
        <v>463.52</v>
      </c>
      <c r="K493" s="1">
        <v>45597</v>
      </c>
    </row>
    <row r="494" spans="1:11">
      <c r="A494" s="1" t="s">
        <v>544</v>
      </c>
      <c r="B494" s="1" t="s">
        <v>56</v>
      </c>
      <c r="C494" s="1" t="s">
        <v>57</v>
      </c>
      <c r="D494">
        <v>12</v>
      </c>
      <c r="E494">
        <v>23.55</v>
      </c>
      <c r="F494">
        <v>282.60000000000002</v>
      </c>
      <c r="G494" s="2">
        <v>45431</v>
      </c>
      <c r="H494" s="1" t="s">
        <v>19</v>
      </c>
      <c r="I494" s="1" t="s">
        <v>58</v>
      </c>
      <c r="J494">
        <v>282.60000000000002</v>
      </c>
      <c r="K494" s="1">
        <v>45413</v>
      </c>
    </row>
    <row r="495" spans="1:11">
      <c r="A495" s="1" t="s">
        <v>545</v>
      </c>
      <c r="B495" s="1" t="s">
        <v>40</v>
      </c>
      <c r="C495" s="1" t="s">
        <v>25</v>
      </c>
      <c r="D495">
        <v>4</v>
      </c>
      <c r="E495">
        <v>15.67</v>
      </c>
      <c r="F495">
        <v>62.68</v>
      </c>
      <c r="G495" s="2">
        <v>45476</v>
      </c>
      <c r="H495" s="1" t="s">
        <v>19</v>
      </c>
      <c r="I495" s="1" t="s">
        <v>36</v>
      </c>
      <c r="J495">
        <v>62.68</v>
      </c>
      <c r="K495" s="1">
        <v>45474</v>
      </c>
    </row>
    <row r="496" spans="1:11">
      <c r="A496" s="1" t="s">
        <v>546</v>
      </c>
      <c r="B496" s="1" t="s">
        <v>54</v>
      </c>
      <c r="C496" s="1" t="s">
        <v>32</v>
      </c>
      <c r="D496">
        <v>4</v>
      </c>
      <c r="E496">
        <v>310.33999999999997</v>
      </c>
      <c r="F496">
        <v>1241.3599999999999</v>
      </c>
      <c r="G496" s="2">
        <v>45300</v>
      </c>
      <c r="H496" s="1" t="s">
        <v>45</v>
      </c>
      <c r="I496" s="1" t="s">
        <v>66</v>
      </c>
      <c r="J496">
        <v>1241.3599999999999</v>
      </c>
      <c r="K496" s="1">
        <v>45292</v>
      </c>
    </row>
    <row r="497" spans="1:11">
      <c r="A497" s="1" t="s">
        <v>547</v>
      </c>
      <c r="B497" s="1" t="s">
        <v>43</v>
      </c>
      <c r="C497" s="1" t="s">
        <v>13</v>
      </c>
      <c r="D497">
        <v>19</v>
      </c>
      <c r="E497">
        <v>104.12</v>
      </c>
      <c r="F497">
        <v>1978.28</v>
      </c>
      <c r="G497" s="2">
        <v>45524</v>
      </c>
      <c r="H497" s="1" t="s">
        <v>45</v>
      </c>
      <c r="I497" s="1" t="s">
        <v>96</v>
      </c>
      <c r="J497">
        <v>1978.28</v>
      </c>
      <c r="K497" s="1">
        <v>45505</v>
      </c>
    </row>
    <row r="498" spans="1:11">
      <c r="A498" s="1" t="s">
        <v>548</v>
      </c>
      <c r="B498" s="1" t="s">
        <v>62</v>
      </c>
      <c r="C498" s="1" t="s">
        <v>32</v>
      </c>
      <c r="D498">
        <v>5</v>
      </c>
      <c r="E498">
        <v>919.08</v>
      </c>
      <c r="F498">
        <v>4595.3999999999996</v>
      </c>
      <c r="G498" s="2">
        <v>45519</v>
      </c>
      <c r="H498" s="1" t="s">
        <v>35</v>
      </c>
      <c r="I498" s="1" t="s">
        <v>47</v>
      </c>
      <c r="J498">
        <v>4595.3999999999996</v>
      </c>
      <c r="K498" s="1">
        <v>45505</v>
      </c>
    </row>
    <row r="499" spans="1:11">
      <c r="A499" s="1" t="s">
        <v>549</v>
      </c>
      <c r="B499" s="1" t="s">
        <v>24</v>
      </c>
      <c r="C499" s="1" t="s">
        <v>25</v>
      </c>
      <c r="D499">
        <v>3</v>
      </c>
      <c r="E499">
        <v>1.51</v>
      </c>
      <c r="F499">
        <v>4.53</v>
      </c>
      <c r="G499" s="2">
        <v>45424</v>
      </c>
      <c r="H499" s="1" t="s">
        <v>45</v>
      </c>
      <c r="I499" s="1" t="s">
        <v>85</v>
      </c>
      <c r="J499">
        <v>4.53</v>
      </c>
      <c r="K499" s="1">
        <v>45413</v>
      </c>
    </row>
    <row r="500" spans="1:11">
      <c r="A500" s="1" t="s">
        <v>550</v>
      </c>
      <c r="B500" s="1" t="s">
        <v>43</v>
      </c>
      <c r="C500" s="1" t="s">
        <v>13</v>
      </c>
      <c r="D500">
        <v>17</v>
      </c>
      <c r="E500">
        <v>162.01</v>
      </c>
      <c r="F500">
        <v>2754.17</v>
      </c>
      <c r="G500" s="2">
        <v>45365</v>
      </c>
      <c r="H500" s="1" t="s">
        <v>26</v>
      </c>
      <c r="I500" s="1" t="s">
        <v>71</v>
      </c>
      <c r="J500">
        <v>2754.17</v>
      </c>
      <c r="K500" s="1">
        <v>45352</v>
      </c>
    </row>
    <row r="501" spans="1:11">
      <c r="A501" s="1" t="s">
        <v>551</v>
      </c>
      <c r="B501" s="1" t="s">
        <v>17</v>
      </c>
      <c r="C501" s="1" t="s">
        <v>18</v>
      </c>
      <c r="D501">
        <v>4</v>
      </c>
      <c r="E501">
        <v>13.64</v>
      </c>
      <c r="F501">
        <v>54.56</v>
      </c>
      <c r="G501" s="2">
        <v>45353</v>
      </c>
      <c r="H501" s="1" t="s">
        <v>14</v>
      </c>
      <c r="I501" s="1" t="s">
        <v>96</v>
      </c>
      <c r="J501">
        <v>54.56</v>
      </c>
      <c r="K501" s="1">
        <v>45352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01A8-EC94-0841-A0AB-542A840B4B5C}">
  <dimension ref="A3:B9"/>
  <sheetViews>
    <sheetView topLeftCell="A3" workbookViewId="0">
      <selection activeCell="E13" sqref="E13"/>
    </sheetView>
  </sheetViews>
  <sheetFormatPr baseColWidth="10" defaultRowHeight="16"/>
  <cols>
    <col min="1" max="1" width="18.5" bestFit="1" customWidth="1"/>
    <col min="2" max="2" width="14.83203125" style="5" bestFit="1" customWidth="1"/>
  </cols>
  <sheetData>
    <row r="3" spans="1:2">
      <c r="A3" s="3" t="s">
        <v>552</v>
      </c>
      <c r="B3" s="5" t="s">
        <v>554</v>
      </c>
    </row>
    <row r="4" spans="1:2">
      <c r="A4" s="4" t="s">
        <v>14</v>
      </c>
      <c r="B4" s="6">
        <v>328761.7300000001</v>
      </c>
    </row>
    <row r="5" spans="1:2">
      <c r="A5" s="4" t="s">
        <v>45</v>
      </c>
      <c r="B5" s="6">
        <v>285353.58999999997</v>
      </c>
    </row>
    <row r="6" spans="1:2">
      <c r="A6" s="4" t="s">
        <v>35</v>
      </c>
      <c r="B6" s="6">
        <v>223580.85</v>
      </c>
    </row>
    <row r="7" spans="1:2">
      <c r="A7" s="4" t="s">
        <v>26</v>
      </c>
      <c r="B7" s="6">
        <v>202810.72000000003</v>
      </c>
    </row>
    <row r="8" spans="1:2">
      <c r="A8" s="4" t="s">
        <v>19</v>
      </c>
      <c r="B8" s="6">
        <v>200073.64000000007</v>
      </c>
    </row>
    <row r="9" spans="1:2">
      <c r="A9" s="4" t="s">
        <v>553</v>
      </c>
      <c r="B9" s="6">
        <v>1240580.5300000003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34E8-8CB4-6547-A3B0-CA71FBCA0B9B}">
  <dimension ref="A3:B10"/>
  <sheetViews>
    <sheetView topLeftCell="A2" workbookViewId="0">
      <selection activeCell="E28" sqref="E28"/>
    </sheetView>
  </sheetViews>
  <sheetFormatPr baseColWidth="10" defaultRowHeight="16"/>
  <cols>
    <col min="1" max="1" width="15.33203125" bestFit="1" customWidth="1"/>
    <col min="2" max="2" width="14.6640625" bestFit="1" customWidth="1"/>
  </cols>
  <sheetData>
    <row r="3" spans="1:2">
      <c r="A3" s="3" t="s">
        <v>552</v>
      </c>
      <c r="B3" t="s">
        <v>554</v>
      </c>
    </row>
    <row r="4" spans="1:2">
      <c r="A4" s="4" t="s">
        <v>32</v>
      </c>
      <c r="B4" s="5">
        <v>697805.23000000021</v>
      </c>
    </row>
    <row r="5" spans="1:2">
      <c r="A5" s="4" t="s">
        <v>22</v>
      </c>
      <c r="B5" s="5">
        <v>336017.99999999988</v>
      </c>
    </row>
    <row r="6" spans="1:2">
      <c r="A6" s="4" t="s">
        <v>13</v>
      </c>
      <c r="B6" s="5">
        <v>172818.61</v>
      </c>
    </row>
    <row r="7" spans="1:2">
      <c r="A7" s="4" t="s">
        <v>57</v>
      </c>
      <c r="B7" s="5">
        <v>20857.240000000002</v>
      </c>
    </row>
    <row r="8" spans="1:2">
      <c r="A8" s="4" t="s">
        <v>25</v>
      </c>
      <c r="B8" s="5">
        <v>6753.1799999999985</v>
      </c>
    </row>
    <row r="9" spans="1:2">
      <c r="A9" s="4" t="s">
        <v>18</v>
      </c>
      <c r="B9" s="5">
        <v>6328.2700000000041</v>
      </c>
    </row>
    <row r="10" spans="1:2">
      <c r="A10" s="4" t="s">
        <v>553</v>
      </c>
      <c r="B10" s="5">
        <v>1240580.53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F7DF-45B6-E644-A591-90E29E0FAEF4}">
  <dimension ref="A3:B16"/>
  <sheetViews>
    <sheetView topLeftCell="A3" workbookViewId="0">
      <selection activeCell="F11" sqref="F11"/>
    </sheetView>
  </sheetViews>
  <sheetFormatPr baseColWidth="10" defaultRowHeight="16"/>
  <cols>
    <col min="1" max="1" width="10.5" bestFit="1" customWidth="1"/>
    <col min="2" max="2" width="14.33203125" bestFit="1" customWidth="1"/>
  </cols>
  <sheetData>
    <row r="3" spans="1:2">
      <c r="A3" s="3" t="s">
        <v>552</v>
      </c>
      <c r="B3" t="s">
        <v>554</v>
      </c>
    </row>
    <row r="4" spans="1:2">
      <c r="A4" s="7">
        <v>45292</v>
      </c>
      <c r="B4" s="1">
        <v>101523.94999999997</v>
      </c>
    </row>
    <row r="5" spans="1:2">
      <c r="A5" s="7">
        <v>45323</v>
      </c>
      <c r="B5" s="1">
        <v>78544.710000000006</v>
      </c>
    </row>
    <row r="6" spans="1:2">
      <c r="A6" s="7">
        <v>45352</v>
      </c>
      <c r="B6" s="1">
        <v>123639.02999999997</v>
      </c>
    </row>
    <row r="7" spans="1:2">
      <c r="A7" s="7">
        <v>45383</v>
      </c>
      <c r="B7" s="1">
        <v>119348.9</v>
      </c>
    </row>
    <row r="8" spans="1:2">
      <c r="A8" s="7">
        <v>45413</v>
      </c>
      <c r="B8" s="1">
        <v>117917.38</v>
      </c>
    </row>
    <row r="9" spans="1:2">
      <c r="A9" s="7">
        <v>45444</v>
      </c>
      <c r="B9" s="1">
        <v>87118.540000000008</v>
      </c>
    </row>
    <row r="10" spans="1:2">
      <c r="A10" s="7">
        <v>45474</v>
      </c>
      <c r="B10" s="1">
        <v>76055.66</v>
      </c>
    </row>
    <row r="11" spans="1:2">
      <c r="A11" s="7">
        <v>45505</v>
      </c>
      <c r="B11" s="1">
        <v>77222.969999999987</v>
      </c>
    </row>
    <row r="12" spans="1:2">
      <c r="A12" s="7">
        <v>45536</v>
      </c>
      <c r="B12" s="1">
        <v>125187.25</v>
      </c>
    </row>
    <row r="13" spans="1:2">
      <c r="A13" s="7">
        <v>45566</v>
      </c>
      <c r="B13" s="1">
        <v>121217.02</v>
      </c>
    </row>
    <row r="14" spans="1:2">
      <c r="A14" s="7">
        <v>45597</v>
      </c>
      <c r="B14" s="1">
        <v>114299.46</v>
      </c>
    </row>
    <row r="15" spans="1:2">
      <c r="A15" s="7">
        <v>45627</v>
      </c>
      <c r="B15" s="1">
        <v>98505.66</v>
      </c>
    </row>
    <row r="16" spans="1:2">
      <c r="A16" s="7" t="s">
        <v>553</v>
      </c>
      <c r="B16" s="1">
        <v>1240580.53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F212-74DD-254B-A80A-E7F33BACFF43}">
  <dimension ref="A1:K3"/>
  <sheetViews>
    <sheetView tabSelected="1" workbookViewId="0">
      <selection activeCell="L15" sqref="L15"/>
    </sheetView>
  </sheetViews>
  <sheetFormatPr baseColWidth="10" defaultRowHeight="16"/>
  <cols>
    <col min="1" max="1" width="41" bestFit="1" customWidth="1"/>
    <col min="2" max="2" width="12" bestFit="1" customWidth="1"/>
    <col min="4" max="4" width="16.5" bestFit="1" customWidth="1"/>
    <col min="5" max="5" width="5" bestFit="1" customWidth="1"/>
    <col min="7" max="7" width="13.6640625" bestFit="1" customWidth="1"/>
    <col min="8" max="8" width="3" bestFit="1" customWidth="1"/>
    <col min="10" max="10" width="14.33203125" bestFit="1" customWidth="1"/>
    <col min="11" max="11" width="8" customWidth="1"/>
  </cols>
  <sheetData>
    <row r="1" spans="1:11">
      <c r="A1" s="9" t="s">
        <v>555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>
      <c r="A3" s="8" t="s">
        <v>556</v>
      </c>
      <c r="B3" s="8">
        <f>SUM(spend_analysis_dataset[Spend])</f>
        <v>1240580.53</v>
      </c>
      <c r="D3" s="8" t="s">
        <v>557</v>
      </c>
      <c r="E3">
        <f>COUNTA(spend_analysis_dataset[TransactionID])</f>
        <v>500</v>
      </c>
      <c r="G3" s="8" t="s">
        <v>558</v>
      </c>
      <c r="H3" s="8">
        <f>COUNTA('PQ Supplier Spend'!A:A)-2</f>
        <v>5</v>
      </c>
      <c r="J3" s="8" t="s">
        <v>559</v>
      </c>
      <c r="K3" s="8">
        <f>COUNTA('PQ Category Spend'!A:A)-2</f>
        <v>6</v>
      </c>
    </row>
  </sheetData>
  <mergeCells count="1">
    <mergeCell ref="A1:K2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657A6B-4713-6E46-937C-5161FFC19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PQ Cleaned Data</vt:lpstr>
      <vt:lpstr>PQ Supplier Spend</vt:lpstr>
      <vt:lpstr>PQ Category Spend</vt:lpstr>
      <vt:lpstr>PQ Monthly Spend</vt:lpstr>
      <vt:lpstr>PQ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龚闻凯</dc:creator>
  <cp:lastModifiedBy>龚闻凯</cp:lastModifiedBy>
  <dcterms:created xsi:type="dcterms:W3CDTF">2026-07-30T05:19:33Z</dcterms:created>
  <dcterms:modified xsi:type="dcterms:W3CDTF">2026-07-30T06:32:41Z</dcterms:modified>
</cp:coreProperties>
</file>